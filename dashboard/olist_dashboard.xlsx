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wner/Downloads/olist-ecommerce-analysis/dashboard/"/>
    </mc:Choice>
  </mc:AlternateContent>
  <xr:revisionPtr revIDLastSave="0" documentId="13_ncr:1_{9AB1F8BA-2234-9D49-B678-20BECD1CB6F2}" xr6:coauthVersionLast="38" xr6:coauthVersionMax="38" xr10:uidLastSave="{00000000-0000-0000-0000-000000000000}"/>
  <bookViews>
    <workbookView xWindow="0" yWindow="500" windowWidth="25600" windowHeight="14540" activeTab="2" xr2:uid="{00000000-000D-0000-FFFF-FFFF00000000}"/>
  </bookViews>
  <sheets>
    <sheet name="Delivery &amp; Customer Analysis" sheetId="17" r:id="rId1"/>
    <sheet name="olist_monthly_sales" sheetId="1" r:id="rId2"/>
    <sheet name="monthly_growth" sheetId="9" r:id="rId3"/>
    <sheet name="latestate" sheetId="6" r:id="rId4"/>
    <sheet name="olist_product_category" sheetId="3" r:id="rId5"/>
    <sheet name="customer segment" sheetId="8" r:id="rId6"/>
    <sheet name="paymentmethod" sheetId="4" r:id="rId7"/>
    <sheet name="stateperformance" sheetId="5" r:id="rId8"/>
    <sheet name="customer_repeat_90d" sheetId="10" r:id="rId9"/>
    <sheet name="delivery_priority" sheetId="11" r:id="rId10"/>
    <sheet name="seller_delivery" sheetId="12" r:id="rId11"/>
    <sheet name="state_freight" sheetId="13" r:id="rId12"/>
    <sheet name="Executive overview" sheetId="14" r:id="rId13"/>
    <sheet name="chart_data" sheetId="15" r:id="rId14"/>
  </sheets>
  <externalReferences>
    <externalReference r:id="rId15"/>
  </externalReferences>
  <calcPr calcId="179021"/>
</workbook>
</file>

<file path=xl/calcChain.xml><?xml version="1.0" encoding="utf-8"?>
<calcChain xmlns="http://schemas.openxmlformats.org/spreadsheetml/2006/main">
  <c r="T3" i="15" l="1"/>
  <c r="T4" i="15"/>
  <c r="T5" i="15"/>
  <c r="T6" i="15"/>
  <c r="T7" i="15"/>
  <c r="T8" i="15"/>
  <c r="T9" i="15"/>
  <c r="T10" i="15"/>
  <c r="T11" i="15"/>
  <c r="T12" i="15"/>
  <c r="T13" i="15"/>
  <c r="T14" i="15"/>
  <c r="T15" i="15"/>
  <c r="T16" i="15"/>
  <c r="T2" i="15"/>
  <c r="S3" i="15"/>
  <c r="S4" i="15"/>
  <c r="S5" i="15"/>
  <c r="S6" i="15"/>
  <c r="S7" i="15"/>
  <c r="S8" i="15"/>
  <c r="S9" i="15"/>
  <c r="S10" i="15"/>
  <c r="S11" i="15"/>
  <c r="S12" i="15"/>
  <c r="S13" i="15"/>
  <c r="S14" i="15"/>
  <c r="S15" i="15"/>
  <c r="S16" i="15"/>
  <c r="S2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3" i="15"/>
  <c r="R2" i="15"/>
  <c r="P3" i="15"/>
  <c r="P4" i="15"/>
  <c r="P5" i="15"/>
  <c r="P6" i="15"/>
  <c r="P7" i="15"/>
  <c r="P8" i="15"/>
  <c r="P9" i="15"/>
  <c r="P10" i="15"/>
  <c r="P11" i="15"/>
  <c r="P12" i="15"/>
  <c r="P13" i="15"/>
  <c r="P14" i="15"/>
  <c r="P15" i="15"/>
  <c r="P16" i="15"/>
  <c r="P17" i="15"/>
  <c r="P18" i="15"/>
  <c r="P19" i="15"/>
  <c r="P20" i="15"/>
  <c r="P21" i="15"/>
  <c r="P22" i="15"/>
  <c r="P23" i="15"/>
  <c r="P24" i="15"/>
  <c r="P25" i="15"/>
  <c r="P2" i="15"/>
  <c r="O24" i="15"/>
  <c r="O25" i="15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" i="15"/>
  <c r="M3" i="15" l="1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M2" i="15"/>
  <c r="L2" i="15"/>
  <c r="J3" i="15"/>
  <c r="J4" i="15"/>
  <c r="J5" i="15"/>
  <c r="J6" i="15"/>
  <c r="J7" i="15"/>
  <c r="J8" i="15"/>
  <c r="J9" i="15"/>
  <c r="J10" i="15"/>
  <c r="J11" i="15"/>
  <c r="J2" i="15"/>
  <c r="I26" i="15"/>
  <c r="I27" i="15"/>
  <c r="I20" i="15"/>
  <c r="I21" i="15"/>
  <c r="I22" i="15"/>
  <c r="I23" i="15"/>
  <c r="I24" i="15"/>
  <c r="I25" i="15"/>
  <c r="I15" i="15"/>
  <c r="I16" i="15"/>
  <c r="I17" i="15"/>
  <c r="I18" i="15"/>
  <c r="I19" i="15"/>
  <c r="I3" i="15"/>
  <c r="I4" i="15"/>
  <c r="I5" i="15"/>
  <c r="I6" i="15"/>
  <c r="I7" i="15"/>
  <c r="I8" i="15"/>
  <c r="I9" i="15"/>
  <c r="I10" i="15"/>
  <c r="I11" i="15"/>
  <c r="I12" i="15"/>
  <c r="I13" i="15"/>
  <c r="I14" i="15"/>
  <c r="I2" i="15"/>
  <c r="N7" i="17"/>
  <c r="T7" i="17"/>
  <c r="H7" i="17"/>
  <c r="B7" i="17"/>
  <c r="G3" i="15"/>
  <c r="G4" i="15"/>
  <c r="G5" i="15"/>
  <c r="G6" i="15"/>
  <c r="G7" i="15"/>
  <c r="G8" i="15"/>
  <c r="G9" i="15"/>
  <c r="F3" i="15"/>
  <c r="F4" i="15"/>
  <c r="F5" i="15"/>
  <c r="F6" i="15"/>
  <c r="F7" i="15"/>
  <c r="F8" i="15"/>
  <c r="F9" i="15"/>
  <c r="G2" i="15"/>
  <c r="F2" i="15"/>
  <c r="E3" i="15"/>
  <c r="E4" i="15"/>
  <c r="E5" i="15"/>
  <c r="E6" i="15"/>
  <c r="E7" i="15"/>
  <c r="E8" i="15"/>
  <c r="E9" i="15"/>
  <c r="E10" i="15"/>
  <c r="E11" i="15"/>
  <c r="E12" i="15"/>
  <c r="E13" i="15"/>
  <c r="E2" i="15"/>
  <c r="B10" i="15"/>
  <c r="B11" i="15"/>
  <c r="B12" i="15"/>
  <c r="B13" i="15"/>
  <c r="C3" i="15"/>
  <c r="C4" i="15"/>
  <c r="C5" i="15"/>
  <c r="C6" i="15"/>
  <c r="C7" i="15"/>
  <c r="C8" i="15"/>
  <c r="C9" i="15"/>
  <c r="C2" i="15"/>
  <c r="B3" i="15"/>
  <c r="B4" i="15"/>
  <c r="B5" i="15"/>
  <c r="B6" i="15"/>
  <c r="B7" i="15"/>
  <c r="B8" i="15"/>
  <c r="B9" i="15"/>
  <c r="B2" i="15"/>
  <c r="T7" i="14"/>
  <c r="N7" i="14"/>
  <c r="B7" i="14"/>
  <c r="H7" i="14"/>
</calcChain>
</file>

<file path=xl/sharedStrings.xml><?xml version="1.0" encoding="utf-8"?>
<sst xmlns="http://schemas.openxmlformats.org/spreadsheetml/2006/main" count="342" uniqueCount="138">
  <si>
    <t>purchase_month</t>
  </si>
  <si>
    <t>total_orders</t>
  </si>
  <si>
    <t>delivered_orders</t>
  </si>
  <si>
    <t>canceled_orders</t>
  </si>
  <si>
    <t>delivered_orders_with_value</t>
  </si>
  <si>
    <t>delivered_merchandise_sales</t>
  </si>
  <si>
    <t>delivered_freight_value</t>
  </si>
  <si>
    <t>average_order_value</t>
  </si>
  <si>
    <t>sales_growth_pct</t>
  </si>
  <si>
    <t>NULL</t>
  </si>
  <si>
    <t>product_category</t>
  </si>
  <si>
    <t>merchandise_sales</t>
  </si>
  <si>
    <t>Beleza Saude</t>
  </si>
  <si>
    <t>Relogios Presentes</t>
  </si>
  <si>
    <t>Cama Mesa Banho</t>
  </si>
  <si>
    <t>Esporte Lazer</t>
  </si>
  <si>
    <t>Informatica Acessorios</t>
  </si>
  <si>
    <t>Moveis Decoracao</t>
  </si>
  <si>
    <t>Utilidades Domesticas</t>
  </si>
  <si>
    <t>Cool Stuff</t>
  </si>
  <si>
    <t>Automotivo</t>
  </si>
  <si>
    <t>Brinquedos</t>
  </si>
  <si>
    <t>payment_method</t>
  </si>
  <si>
    <t>delivered_order_payment_value</t>
  </si>
  <si>
    <t>Credit Card</t>
  </si>
  <si>
    <t>Boleto</t>
  </si>
  <si>
    <t>Voucher</t>
  </si>
  <si>
    <t>Debit Card</t>
  </si>
  <si>
    <t>customer_state</t>
  </si>
  <si>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</si>
  <si>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</si>
  <si>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</si>
  <si>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</si>
  <si>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</si>
  <si>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</si>
  <si>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</si>
  <si>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</si>
  <si>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</si>
  <si>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</si>
  <si>
    <t>late_delivery_pct</t>
  </si>
  <si>
    <t>lateness_eligible_orders</t>
  </si>
  <si>
    <t>AL</t>
  </si>
  <si>
    <t>MA</t>
  </si>
  <si>
    <t>SE</t>
  </si>
  <si>
    <t>PI</t>
  </si>
  <si>
    <t>CE</t>
  </si>
  <si>
    <t>PA</t>
  </si>
  <si>
    <t>PB</t>
  </si>
  <si>
    <t>customer_segment</t>
  </si>
  <si>
    <t>customer_count</t>
  </si>
  <si>
    <t>Single-order customer</t>
  </si>
  <si>
    <t>Repeat customer</t>
  </si>
  <si>
    <t>freight_value</t>
  </si>
  <si>
    <t>freight_to_sales_pct</t>
  </si>
  <si>
    <t>previous_year_sales</t>
  </si>
  <si>
    <t>previous_year_orders</t>
  </si>
  <si>
    <t>sales_yoy_growth_pct</t>
  </si>
  <si>
    <t>orders_yoy_growth_pct</t>
  </si>
  <si>
    <t>aov_yoy_growth_pct</t>
  </si>
  <si>
    <t>cohort_month</t>
  </si>
  <si>
    <t>cohort_customers</t>
  </si>
  <si>
    <t>repeat_customers_90d</t>
  </si>
  <si>
    <t>repeat_purchase_90d_pct</t>
  </si>
  <si>
    <t>late_orders</t>
  </si>
  <si>
    <t>share_of_all_late_orders_pct</t>
  </si>
  <si>
    <t>average_delivery_days</t>
  </si>
  <si>
    <t>freight_to_merchandise_pct</t>
  </si>
  <si>
    <t>late_volume_rank</t>
  </si>
  <si>
    <t>sample_size_note</t>
  </si>
  <si>
    <t>100+ eligible orders</t>
  </si>
  <si>
    <t>PE</t>
  </si>
  <si>
    <t>MS</t>
  </si>
  <si>
    <t>MT</t>
  </si>
  <si>
    <t>RN</t>
  </si>
  <si>
    <t>TO</t>
  </si>
  <si>
    <t>RO</t>
  </si>
  <si>
    <t>RR</t>
  </si>
  <si>
    <t>Small sample</t>
  </si>
  <si>
    <t>AM</t>
  </si>
  <si>
    <t>AC</t>
  </si>
  <si>
    <t>AP</t>
  </si>
  <si>
    <t>seller_id</t>
  </si>
  <si>
    <t>overall_late_delivery_pct</t>
  </si>
  <si>
    <t>gap_vs_overall_percentage_points</t>
  </si>
  <si>
    <t>4a3ca9315b744ce9f8e9374361493884</t>
  </si>
  <si>
    <t>1f50f920176fa81dab994f9023523100</t>
  </si>
  <si>
    <t>4869f7a5dfa277a7dca6462dcf3b52b2</t>
  </si>
  <si>
    <t>6560211a19b47992c3666cc44a7e94c0</t>
  </si>
  <si>
    <t>ea8482cd71df3c1969d7b9473ff13abc</t>
  </si>
  <si>
    <t>7c67e1448b00f6e969d365cea6b010ab</t>
  </si>
  <si>
    <t>cc419e0650a3c5ba77189a1882b7556a</t>
  </si>
  <si>
    <t>da8622b14eb17ae2831f4ac5b9dab84a</t>
  </si>
  <si>
    <t>8b321bb669392f5163d04c59e235e066</t>
  </si>
  <si>
    <t>955fee9216a65b617aa5c0531780ce60</t>
  </si>
  <si>
    <t>06a2c3af7b3aee5d69171b0e14f0ee87</t>
  </si>
  <si>
    <t>1025f0e2d44d7041d6cf58b6550e0bfa</t>
  </si>
  <si>
    <t>7d13fca15225358621be4086e1eb0964</t>
  </si>
  <si>
    <t>620c87c171fb2a6dd6e8bb4dec959fc6</t>
  </si>
  <si>
    <t>7a67c85e85bb2ce8582c35f2203ad736</t>
  </si>
  <si>
    <t>merchandise_sales_share_pct</t>
  </si>
  <si>
    <t>average_freight_per_order</t>
  </si>
  <si>
    <t>100+ delivered orders</t>
  </si>
  <si>
    <t>OLIST · BUSINESS PERFORMANCE</t>
  </si>
  <si>
    <t>Sales overview · January 2017–August 2018</t>
  </si>
  <si>
    <t>MERCHANDISE SALES</t>
  </si>
  <si>
    <t>Delivered Orders</t>
  </si>
  <si>
    <t>Average Order Value</t>
  </si>
  <si>
    <t>Sales Growth · Jan–Aug YoY</t>
  </si>
  <si>
    <t>month</t>
  </si>
  <si>
    <t>2017 sales</t>
  </si>
  <si>
    <t>2018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</si>
  <si>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</si>
  <si>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</si>
  <si>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</si>
  <si>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</si>
  <si>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</si>
  <si>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</si>
  <si>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</si>
  <si>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</si>
  <si>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</si>
  <si>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</si>
  <si>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</si>
  <si>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</si>
  <si>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order growth</t>
  </si>
  <si>
    <t>aov growth</t>
  </si>
  <si>
    <t>OLIST · DELIVERY &amp; CUSTOMER ANALYSIS</t>
  </si>
  <si>
    <t>Delivery performance · Freight burden · Repeat purchasing</t>
  </si>
  <si>
    <t>Late Delivery Rate</t>
  </si>
  <si>
    <t>Late Orders</t>
  </si>
  <si>
    <t>Freight/Merchandize Sales</t>
  </si>
  <si>
    <t>Repeat Purchase Within 90 Days</t>
  </si>
  <si>
    <t>state</t>
  </si>
  <si>
    <t>late orders</t>
  </si>
  <si>
    <t>cohort month</t>
  </si>
  <si>
    <t>90-Day Repeat Rate</t>
  </si>
  <si>
    <t>Freight / Merchandise Sales</t>
  </si>
  <si>
    <t>sellers</t>
  </si>
  <si>
    <t>Late orders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</si>
</sst>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main" xmlns:ns3="http://schemas.microsoft.com/office/spreadsheetml/2010/11/main" ns1:Ignorable="x14ac x16r2 xr">
  <numFmts count="5">
    <numFmt numFmtId="164" formatCode="[$-409]mmm\-yy;@"/>
    <numFmt numFmtId="166" formatCode="&quot;R$&quot;0.00,,&quot;M&quot;"/>
    <numFmt numFmtId="167" formatCode="&quot;R$&quot;0.00"/>
    <numFmt numFmtId="168" formatCode="#,##0;[Red]#,##0"/>
    <numFmt numFmtId="169" formatCode="m/d/yy;@"/>
  </numFmts>
  <fonts count="2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Arial Unicode MS"/>
      <family val="2"/>
    </font>
    <font>
      <sz val="12"/>
      <color rgb="FF000000"/>
      <name val="Calibri"/>
      <family val="2"/>
      <scheme val="minor"/>
    </font>
    <font>
      <b/>
      <sz val="22"/>
      <color theme="4" tint="-0.249977111117893"/>
      <name val="Calibri (Body)"/>
    </font>
    <font>
      <sz val="11"/>
      <color theme="1" tint="0.499984740745262"/>
      <name val="Calibri (Body)_x0000_"/>
    </font>
    <font>
      <b/>
      <sz val="12"/>
      <color theme="4" tint="-0.499984740745262"/>
      <name val="Calibri (Body)_x0000_"/>
    </font>
    <font>
      <sz val="24"/>
      <color theme="4" tint="-0.499984740745262"/>
      <name val="Calibri"/>
      <family val="2"/>
      <scheme val="minor"/>
    </font>
    <font>
      <sz val="11"/>
      <name val="Carlito"/>
    </font>
    <font>
      <i/>
      <sz val="11"/>
      <color rgb="FF17365D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none"/>
    </fill>
    <fill>
      <patternFill patternType="gray125"/>
    </fill>
    <fill>
      <patternFill patternType="solid">
        <fgColor rgb="FFF2F2F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4" borderId="10"/>
  </cellStyleXfs>
  <cellXfs count="24">
    <xf numFmtId="0" fontId="0" fillId="0" borderId="0" xfId="0"/>
    <xf numFmtId="164" fontId="0" fillId="0" borderId="0" xfId="0" applyNumberFormat="1"/>
    <xf numFmtId="0" fontId="18" fillId="0" borderId="0" xfId="0" applyFont="1"/>
    <xf numFmtId="14" fontId="0" fillId="0" borderId="0" xfId="0" applyNumberFormat="1"/>
    <xf numFmtId="0" fontId="19" fillId="0" borderId="0" xfId="0" applyFont="1"/>
    <xf numFmtId="14" fontId="19" fillId="0" borderId="0" xfId="0" applyNumberFormat="1" applyFont="1"/>
    <xf numFmtId="0" fontId="0" fillId="33" borderId="0" xfId="0" applyFill="1"/>
    <xf numFmtId="0" fontId="22" fillId="33" borderId="0" xfId="0" applyFont="1" applyFill="1" applyAlignment="1"/>
    <xf numFmtId="0" fontId="17" fillId="33" borderId="0" xfId="0" applyFont="1" applyFill="1" applyAlignment="1"/>
    <xf numFmtId="10" fontId="0" fillId="0" borderId="0" xfId="0" applyNumberFormat="1"/>
    <xf numFmtId="169" fontId="0" fillId="0" borderId="0" xfId="0" applyNumberFormat="1"/>
    <xf numFmtId="0" fontId="20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21" fillId="33" borderId="0" xfId="0" applyFont="1" applyFill="1" applyAlignment="1">
      <alignment horizontal="center"/>
    </xf>
    <xf numFmtId="10" fontId="23" fillId="33" borderId="0" xfId="0" applyNumberFormat="1" applyFont="1" applyFill="1" applyAlignment="1">
      <alignment horizontal="center" vertical="center"/>
    </xf>
    <xf numFmtId="168" fontId="23" fillId="33" borderId="0" xfId="0" applyNumberFormat="1" applyFont="1" applyFill="1" applyAlignment="1">
      <alignment horizontal="center" vertical="center"/>
    </xf>
    <xf numFmtId="166" fontId="23" fillId="33" borderId="0" xfId="0" applyNumberFormat="1" applyFont="1" applyFill="1" applyAlignment="1">
      <alignment horizontal="center" vertical="center"/>
    </xf>
    <xf numFmtId="167" fontId="23" fillId="33" borderId="0" xfId="0" applyNumberFormat="1" applyFont="1" applyFill="1" applyAlignment="1">
      <alignment horizontal="center" vertical="center"/>
    </xf>
    <xf numFmtId="10" fontId="18" fillId="0" borderId="0" xfId="0" applyNumberFormat="1" applyFont="1"/>
    <xf numFmtId="0" fontId="24" fillId="34" borderId="10" xfId="42"/>
    <xf numFmtId="0" fontId="24" fillId="36" borderId="10" xfId="42" applyNumberFormat="1" applyFont="1" applyFill="1" applyBorder="1"/>
    <xf numFmtId="0" fontId="25" fillId="36" borderId="10" xfId="42" applyNumberFormat="1" applyFont="1" applyFill="1" applyBorder="1"/>
    <xf numFmtId="0" fontId="25" fillId="36" borderId="10" xfId="42" applyNumberFormat="1" applyFont="1" applyFill="1" applyBorder="1" applyAlignment="1">
      <alignment wrapText="1"/>
    </xf>
    <xf numFmtId="0" fontId="25" fillId="36" borderId="10" xfId="42" applyNumberFormat="1" applyFon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uri="{EB79DEF2-80B8-43e5-95BD-54CBDDF9020C}">
      <ns2:slicerStyles defaultSlicerStyle="SlicerStyleLight1"/>
    </ext>
    <ext uri="{9260A510-F301-46a8-8635-F512D64BE5F5}">
      <ns3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Top 10 States by Late Orders</a:t>
            </a:r>
            <a:r>
              <a:rPr lang="en-US" sz="1400" b="0" i="0" u="none" strike="noStrike" baseline="0"/>
              <a:t>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chart_data!$J$1</c:f>
              <c:strCache>
                <c:ptCount val="1"/>
                <c:pt idx="0">
                  <c:v>late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chart_data!$I$2:$I$11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BA</c:v>
                </c:pt>
                <c:pt idx="4">
                  <c:v>RS</c:v>
                </c:pt>
                <c:pt idx="5">
                  <c:v>SC</c:v>
                </c:pt>
                <c:pt idx="6">
                  <c:v>ES</c:v>
                </c:pt>
                <c:pt idx="7">
                  <c:v>PR</c:v>
                </c:pt>
                <c:pt idx="8">
                  <c:v>CE</c:v>
                </c:pt>
                <c:pt idx="9">
                  <c:v>PE</c:v>
                </c:pt>
              </c:strCache>
            </c:strRef>
          </c:cat>
          <c:val>
            <c:numRef>
              <c:f>chart_data!$J$2:$J$11</c:f>
              <c:numCache>
                <c:formatCode>General</c:formatCode>
                <c:ptCount val="10"/>
                <c:pt idx="0">
                  <c:v>1820</c:v>
                </c:pt>
                <c:pt idx="1">
                  <c:v>1495</c:v>
                </c:pt>
                <c:pt idx="2">
                  <c:v>519</c:v>
                </c:pt>
                <c:pt idx="3">
                  <c:v>396</c:v>
                </c:pt>
                <c:pt idx="4">
                  <c:v>325</c:v>
                </c:pt>
                <c:pt idx="5">
                  <c:v>291</c:v>
                </c:pt>
                <c:pt idx="6">
                  <c:v>214</c:v>
                </c:pt>
                <c:pt idx="7">
                  <c:v>199</c:v>
                </c:pt>
                <c:pt idx="8">
                  <c:v>176</c:v>
                </c:pt>
                <c:pt idx="9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AB-9B42-A555-D20CD2FB8F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00112447"/>
        <c:axId val="900112831"/>
      </c:barChart>
      <c:catAx>
        <c:axId val="9001124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112831"/>
        <c:crosses val="autoZero"/>
        <c:auto val="1"/>
        <c:lblAlgn val="ctr"/>
        <c:lblOffset val="100"/>
        <c:noMultiLvlLbl val="0"/>
      </c:catAx>
      <c:valAx>
        <c:axId val="90011283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11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90-Day Repeat Purchase Rate by Cohort</a:t>
            </a:r>
            <a:r>
              <a:rPr lang="en-US" sz="1400" b="0" i="0" u="none" strike="noStrike" baseline="0"/>
              <a:t>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chart_data!$M$1</c:f>
              <c:strCache>
                <c:ptCount val="1"/>
                <c:pt idx="0">
                  <c:v>90-Day Repeat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chart_data!$L$2:$L$18</c:f>
              <c:numCache>
                <c:formatCode>m/d/yy;@</c:formatCode>
                <c:ptCount val="17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</c:numCache>
            </c:numRef>
          </c:cat>
          <c:val>
            <c:numRef>
              <c:f>chart_data!$M$2:$M$18</c:f>
              <c:numCache>
                <c:formatCode>0.00%</c:formatCode>
                <c:ptCount val="17"/>
                <c:pt idx="0">
                  <c:v>3.6299999999999999E-2</c:v>
                </c:pt>
                <c:pt idx="1">
                  <c:v>1.72E-2</c:v>
                </c:pt>
                <c:pt idx="2">
                  <c:v>2.4799999999999999E-2</c:v>
                </c:pt>
                <c:pt idx="3">
                  <c:v>2.1299999999999999E-2</c:v>
                </c:pt>
                <c:pt idx="4">
                  <c:v>2.8399999999999998E-2</c:v>
                </c:pt>
                <c:pt idx="5">
                  <c:v>2.8300000000000002E-2</c:v>
                </c:pt>
                <c:pt idx="6">
                  <c:v>2.5899999999999999E-2</c:v>
                </c:pt>
                <c:pt idx="7">
                  <c:v>2.76E-2</c:v>
                </c:pt>
                <c:pt idx="8">
                  <c:v>2.8500000000000001E-2</c:v>
                </c:pt>
                <c:pt idx="9">
                  <c:v>2.2400000000000003E-2</c:v>
                </c:pt>
                <c:pt idx="10">
                  <c:v>2.3199999999999998E-2</c:v>
                </c:pt>
                <c:pt idx="11">
                  <c:v>1.72E-2</c:v>
                </c:pt>
                <c:pt idx="12">
                  <c:v>2.18E-2</c:v>
                </c:pt>
                <c:pt idx="13">
                  <c:v>2.9900000000000003E-2</c:v>
                </c:pt>
                <c:pt idx="14">
                  <c:v>1.9799999999999998E-2</c:v>
                </c:pt>
                <c:pt idx="15">
                  <c:v>1.6899999999999998E-2</c:v>
                </c:pt>
                <c:pt idx="16">
                  <c:v>1.61E-2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09-FE4A-9086-BC52DCB79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6348559"/>
        <c:axId val="900717071"/>
      </c:lineChart>
      <c:dateAx>
        <c:axId val="896348559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17071"/>
        <c:crosses val="autoZero"/>
        <c:auto val="1"/>
        <c:lblOffset val="100"/>
        <c:baseTimeUnit val="months"/>
      </c:dateAx>
      <c:valAx>
        <c:axId val="90071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34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Top 10 States by Freight Burden</a:t>
            </a:r>
            <a:endParaRPr lang="en-US" b="1">
              <a:solidFill>
                <a:schemeClr val="accent1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chart_data!$P$1</c:f>
              <c:strCache>
                <c:ptCount val="1"/>
                <c:pt idx="0">
                  <c:v>Freight / Merchandise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chart_data!$O$2:$O$11</c:f>
              <c:strCache>
                <c:ptCount val="10"/>
                <c:pt idx="0">
                  <c:v>MA</c:v>
                </c:pt>
                <c:pt idx="1">
                  <c:v>RO</c:v>
                </c:pt>
                <c:pt idx="2">
                  <c:v>AM</c:v>
                </c:pt>
                <c:pt idx="3">
                  <c:v>SE</c:v>
                </c:pt>
                <c:pt idx="4">
                  <c:v>PI</c:v>
                </c:pt>
                <c:pt idx="5">
                  <c:v>TO</c:v>
                </c:pt>
                <c:pt idx="6">
                  <c:v>PE</c:v>
                </c:pt>
                <c:pt idx="7">
                  <c:v>RN</c:v>
                </c:pt>
                <c:pt idx="8">
                  <c:v>PB</c:v>
                </c:pt>
                <c:pt idx="9">
                  <c:v>PA</c:v>
                </c:pt>
              </c:strCache>
            </c:strRef>
          </c:cat>
          <c:val>
            <c:numRef>
              <c:f>chart_data!$P$2:$P$11</c:f>
              <c:numCache>
                <c:formatCode>0.00%</c:formatCode>
                <c:ptCount val="10"/>
                <c:pt idx="0">
                  <c:v>0.26319999999999999</c:v>
                </c:pt>
                <c:pt idx="1">
                  <c:v>0.247</c:v>
                </c:pt>
                <c:pt idx="2">
                  <c:v>0.24510000000000001</c:v>
                </c:pt>
                <c:pt idx="3">
                  <c:v>0.24239999999999998</c:v>
                </c:pt>
                <c:pt idx="4">
                  <c:v>0.24149999999999999</c:v>
                </c:pt>
                <c:pt idx="5">
                  <c:v>0.23980000000000001</c:v>
                </c:pt>
                <c:pt idx="6">
                  <c:v>0.2266</c:v>
                </c:pt>
                <c:pt idx="7">
                  <c:v>0.2266</c:v>
                </c:pt>
                <c:pt idx="8">
                  <c:v>0.2243</c:v>
                </c:pt>
                <c:pt idx="9">
                  <c:v>0.2152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2B-4546-9D61-77E3F1ECF5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5049983"/>
        <c:axId val="545056063"/>
      </c:barChart>
      <c:catAx>
        <c:axId val="54504998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056063"/>
        <c:crosses val="autoZero"/>
        <c:auto val="1"/>
        <c:lblAlgn val="ctr"/>
        <c:lblOffset val="100"/>
        <c:noMultiLvlLbl val="0"/>
      </c:catAx>
      <c:valAx>
        <c:axId val="54505606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04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Top 5 Sellers by Late Orders</a:t>
            </a:r>
            <a:endParaRPr lang="en-US" b="1">
              <a:solidFill>
                <a:schemeClr val="accent1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chart_data!$S$1</c:f>
              <c:strCache>
                <c:ptCount val="1"/>
                <c:pt idx="0">
                  <c:v>Late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chart_data!$R$2:$R$6</c:f>
              <c:strCache>
                <c:ptCount val="5"/>
                <c:pt idx="0">
                  <c:v>4a3ca931</c:v>
                </c:pt>
                <c:pt idx="1">
                  <c:v>1f50f920</c:v>
                </c:pt>
                <c:pt idx="2">
                  <c:v>4869f7a5</c:v>
                </c:pt>
                <c:pt idx="3">
                  <c:v>6560211a</c:v>
                </c:pt>
                <c:pt idx="4">
                  <c:v>ea8482cd</c:v>
                </c:pt>
              </c:strCache>
            </c:strRef>
          </c:cat>
          <c:val>
            <c:numRef>
              <c:f>chart_data!$S$2:$S$6</c:f>
              <c:numCache>
                <c:formatCode>General</c:formatCode>
                <c:ptCount val="5"/>
                <c:pt idx="0">
                  <c:v>172</c:v>
                </c:pt>
                <c:pt idx="1">
                  <c:v>124</c:v>
                </c:pt>
                <c:pt idx="2">
                  <c:v>118</c:v>
                </c:pt>
                <c:pt idx="3">
                  <c:v>96</c:v>
                </c:pt>
                <c:pt idx="4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8C-3744-B2E2-979DBB8F87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4699375"/>
        <c:axId val="540133311"/>
      </c:barChart>
      <c:catAx>
        <c:axId val="5446993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33311"/>
        <c:crosses val="autoZero"/>
        <c:auto val="1"/>
        <c:lblAlgn val="ctr"/>
        <c:lblOffset val="100"/>
        <c:noMultiLvlLbl val="0"/>
      </c:catAx>
      <c:valAx>
        <c:axId val="54013331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69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</a:t>
            </a:r>
            <a:r>
              <a:rPr lang="en-US" baseline="0"/>
              <a:t>y sales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olist_product_category!$B$1</c:f>
              <c:strCache>
                <c:ptCount val="1"/>
                <c:pt idx="0">
                  <c:v>merchandise_sales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olist_product_category!$A$2:$A$11</c:f>
              <c:strCache>
                <c:ptCount val="10"/>
                <c:pt idx="0">
                  <c:v>Beleza Saude</c:v>
                </c:pt>
                <c:pt idx="1">
                  <c:v>Relogios Presentes</c:v>
                </c:pt>
                <c:pt idx="2">
                  <c:v>Cama Mesa Banho</c:v>
                </c:pt>
                <c:pt idx="3">
                  <c:v>Esporte Lazer</c:v>
                </c:pt>
                <c:pt idx="4">
                  <c:v>Informatica Acessorios</c:v>
                </c:pt>
                <c:pt idx="5">
                  <c:v>Moveis Decoracao</c:v>
                </c:pt>
                <c:pt idx="6">
                  <c:v>Utilidades Domesticas</c:v>
                </c:pt>
                <c:pt idx="7">
                  <c:v>Cool Stuff</c:v>
                </c:pt>
                <c:pt idx="8">
                  <c:v>Automotivo</c:v>
                </c:pt>
                <c:pt idx="9">
                  <c:v>Brinquedos</c:v>
                </c:pt>
              </c:strCache>
            </c:strRef>
          </c:cat>
          <c:val>
            <c:numRef>
              <c:f>olist_product_category!$B$2:$B$11</c:f>
              <c:numCache>
                <c:formatCode>General</c:formatCode>
                <c:ptCount val="10"/>
                <c:pt idx="0">
                  <c:v>1233131.72</c:v>
                </c:pt>
                <c:pt idx="1">
                  <c:v>1166176.98</c:v>
                </c:pt>
                <c:pt idx="2">
                  <c:v>1023434.76</c:v>
                </c:pt>
                <c:pt idx="3">
                  <c:v>954852.55</c:v>
                </c:pt>
                <c:pt idx="4">
                  <c:v>888724.61</c:v>
                </c:pt>
                <c:pt idx="5">
                  <c:v>711927.69</c:v>
                </c:pt>
                <c:pt idx="6">
                  <c:v>615628.68999999994</c:v>
                </c:pt>
                <c:pt idx="7">
                  <c:v>610204.1</c:v>
                </c:pt>
                <c:pt idx="8">
                  <c:v>578966.65</c:v>
                </c:pt>
                <c:pt idx="9">
                  <c:v>471286.48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9-F741-AC02-2ECC3718C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1827711"/>
        <c:axId val="1211361183"/>
      </c:barChart>
      <c:catAx>
        <c:axId val="12118277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361183"/>
        <c:crosses val="autoZero"/>
        <c:auto val="1"/>
        <c:lblAlgn val="ctr"/>
        <c:lblOffset val="100"/>
        <c:noMultiLvlLbl val="0"/>
      </c:catAx>
      <c:valAx>
        <c:axId val="1211361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82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stateperformance!$B$1</c:f>
              <c:strCache>
                <c:ptCount val="1"/>
                <c:pt idx="0">
                  <c:v>delivered_merchandise_sales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stateperformance!$A$2:$A$11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</c:strCache>
            </c:strRef>
          </c:cat>
          <c:val>
            <c:numRef>
              <c:f>stateperformance!$B$2:$B$11</c:f>
              <c:numCache>
                <c:formatCode>General</c:formatCode>
                <c:ptCount val="10"/>
                <c:pt idx="0">
                  <c:v>5067633.16</c:v>
                </c:pt>
                <c:pt idx="1">
                  <c:v>1759651.13</c:v>
                </c:pt>
                <c:pt idx="2">
                  <c:v>1552481.83</c:v>
                </c:pt>
                <c:pt idx="3">
                  <c:v>728897.47</c:v>
                </c:pt>
                <c:pt idx="4">
                  <c:v>666063.51</c:v>
                </c:pt>
                <c:pt idx="5">
                  <c:v>507012.13</c:v>
                </c:pt>
                <c:pt idx="6">
                  <c:v>493584.14</c:v>
                </c:pt>
                <c:pt idx="7">
                  <c:v>296498.40999999997</c:v>
                </c:pt>
                <c:pt idx="8">
                  <c:v>282836.7</c:v>
                </c:pt>
                <c:pt idx="9">
                  <c:v>268643.45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D5-AB49-A565-A2E8C52FC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6703455"/>
        <c:axId val="836759967"/>
      </c:barChart>
      <c:catAx>
        <c:axId val="8367034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759967"/>
        <c:crosses val="autoZero"/>
        <c:auto val="1"/>
        <c:lblAlgn val="ctr"/>
        <c:lblOffset val="100"/>
        <c:noMultiLvlLbl val="0"/>
      </c:catAx>
      <c:valAx>
        <c:axId val="8367599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70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50000"/>
                  </a:schemeClr>
                </a:solidFill>
              </a:rPr>
              <a:t>Monthly sales 2017 vs 2018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chart_data!$B$1</c:f>
              <c:strCache>
                <c:ptCount val="1"/>
                <c:pt idx="0">
                  <c:v>2017 sales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chart_data!$A$2:$A$13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chart_data!$B$2:$B$13</c:f>
              <c:numCache>
                <c:formatCode>General</c:formatCode>
                <c:ptCount val="12"/>
                <c:pt idx="0">
                  <c:v>111798.36</c:v>
                </c:pt>
                <c:pt idx="1">
                  <c:v>234223.4</c:v>
                </c:pt>
                <c:pt idx="2">
                  <c:v>359198.85</c:v>
                </c:pt>
                <c:pt idx="3">
                  <c:v>340669.68</c:v>
                </c:pt>
                <c:pt idx="4">
                  <c:v>489338.25</c:v>
                </c:pt>
                <c:pt idx="5">
                  <c:v>421923.37</c:v>
                </c:pt>
                <c:pt idx="6">
                  <c:v>481604.52</c:v>
                </c:pt>
                <c:pt idx="7">
                  <c:v>554699.69999999995</c:v>
                </c:pt>
                <c:pt idx="8">
                  <c:v>607399.67000000004</c:v>
                </c:pt>
                <c:pt idx="9">
                  <c:v>648247.65</c:v>
                </c:pt>
                <c:pt idx="10">
                  <c:v>987765.37</c:v>
                </c:pt>
                <c:pt idx="11">
                  <c:v>726033.19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62-7A46-8199-D6B084785F21}"/>
            </c:ext>
          </c:extLst>
        </c:ser>
        <c:ser>
          <c:idx val="1"/>
          <c:order val="1"/>
          <c:tx>
            <c:strRef>
              <c:f>chart_data!$C$1</c:f>
              <c:strCache>
                <c:ptCount val="1"/>
                <c:pt idx="0">
                  <c:v>2018 sales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chart_data!$A$2:$A$13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chart_data!$C$2:$C$13</c:f>
              <c:numCache>
                <c:formatCode>General</c:formatCode>
                <c:ptCount val="12"/>
                <c:pt idx="0">
                  <c:v>924645</c:v>
                </c:pt>
                <c:pt idx="1">
                  <c:v>826437.13</c:v>
                </c:pt>
                <c:pt idx="2">
                  <c:v>953356.25</c:v>
                </c:pt>
                <c:pt idx="3">
                  <c:v>973534.09</c:v>
                </c:pt>
                <c:pt idx="4">
                  <c:v>977544.69</c:v>
                </c:pt>
                <c:pt idx="5">
                  <c:v>856077.86</c:v>
                </c:pt>
                <c:pt idx="6">
                  <c:v>867953.46</c:v>
                </c:pt>
                <c:pt idx="7">
                  <c:v>838576.64000000001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62-7A46-8199-D6B084785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604399"/>
        <c:axId val="1321093071"/>
      </c:lineChart>
      <c:catAx>
        <c:axId val="89060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093071"/>
        <c:crosses val="autoZero"/>
        <c:auto val="1"/>
        <c:lblAlgn val="ctr"/>
        <c:lblOffset val="100"/>
        <c:noMultiLvlLbl val="0"/>
      </c:catAx>
      <c:valAx>
        <c:axId val="132109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60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1">
                    <a:lumMod val="50000"/>
                  </a:schemeClr>
                </a:solidFill>
              </a:rPr>
              <a:t>Order &amp; AOV Growth — 2018 vs 2017</a:t>
            </a:r>
            <a:endParaRPr lang="en-US" b="1">
              <a:solidFill>
                <a:schemeClr val="accent1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chart_data!$F$1</c:f>
              <c:strCache>
                <c:ptCount val="1"/>
                <c:pt idx="0">
                  <c:v>order growth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chart_data!$E$2:$E$9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</c:strCache>
            </c:strRef>
          </c:cat>
          <c:val>
            <c:numRef>
              <c:f>chart_data!$F$2:$F$9</c:f>
              <c:numCache>
                <c:formatCode>0.00%</c:formatCode>
                <c:ptCount val="8"/>
                <c:pt idx="0">
                  <c:v>8.4253</c:v>
                </c:pt>
                <c:pt idx="1">
                  <c:v>2.9655</c:v>
                </c:pt>
                <c:pt idx="2">
                  <c:v>1.7505999999999999</c:v>
                </c:pt>
                <c:pt idx="3">
                  <c:v>1.9518</c:v>
                </c:pt>
                <c:pt idx="4">
                  <c:v>0.90329999999999999</c:v>
                </c:pt>
                <c:pt idx="5">
                  <c:v>0.94550000000000001</c:v>
                </c:pt>
                <c:pt idx="6">
                  <c:v>0.5907</c:v>
                </c:pt>
                <c:pt idx="7">
                  <c:v>0.51469999999999994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C-7E4A-8509-31368B118359}"/>
            </c:ext>
          </c:extLst>
        </c:ser>
        <c:ser>
          <c:idx val="1"/>
          <c:order val="1"/>
          <c:tx>
            <c:strRef>
              <c:f>chart_data!$G$1</c:f>
              <c:strCache>
                <c:ptCount val="1"/>
                <c:pt idx="0">
                  <c:v>aov growth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chart_data!$E$2:$E$9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</c:strCache>
            </c:strRef>
          </c:cat>
          <c:val>
            <c:numRef>
              <c:f>chart_data!$G$2:$G$9</c:f>
              <c:numCache>
                <c:formatCode>0.00%</c:formatCode>
                <c:ptCount val="8"/>
                <c:pt idx="0">
                  <c:v>-0.1225</c:v>
                </c:pt>
                <c:pt idx="1">
                  <c:v>-0.11019999999999999</c:v>
                </c:pt>
                <c:pt idx="2">
                  <c:v>-3.5099999999999999E-2</c:v>
                </c:pt>
                <c:pt idx="3">
                  <c:v>-3.1899999999999998E-2</c:v>
                </c:pt>
                <c:pt idx="4">
                  <c:v>4.9599999999999998E-2</c:v>
                </c:pt>
                <c:pt idx="5">
                  <c:v>4.2900000000000001E-2</c:v>
                </c:pt>
                <c:pt idx="6">
                  <c:v>0.13300000000000001</c:v>
                </c:pt>
                <c:pt idx="7">
                  <c:v>-1.9E-3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DC-7E4A-8509-31368B1183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94640207"/>
        <c:axId val="922608287"/>
      </c:barChart>
      <c:catAx>
        <c:axId val="89464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608287"/>
        <c:crosses val="autoZero"/>
        <c:auto val="1"/>
        <c:lblAlgn val="ctr"/>
        <c:lblOffset val="100"/>
        <c:noMultiLvlLbl val="0"/>
      </c:catAx>
      <c:valAx>
        <c:axId val="92260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64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Top 10 States by  Sales</a:t>
            </a:r>
            <a:endParaRPr lang="en-US" b="1">
              <a:solidFill>
                <a:schemeClr val="accent1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stateperformance!$B$1</c:f>
              <c:strCache>
                <c:ptCount val="1"/>
                <c:pt idx="0">
                  <c:v>delivered_merchandise_sales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stateperformance!$A$2:$A$11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</c:strCache>
            </c:strRef>
          </c:cat>
          <c:val>
            <c:numRef>
              <c:f>stateperformance!$B$2:$B$11</c:f>
              <c:numCache>
                <c:formatCode>General</c:formatCode>
                <c:ptCount val="10"/>
                <c:pt idx="0">
                  <c:v>5067633.16</c:v>
                </c:pt>
                <c:pt idx="1">
                  <c:v>1759651.13</c:v>
                </c:pt>
                <c:pt idx="2">
                  <c:v>1552481.83</c:v>
                </c:pt>
                <c:pt idx="3">
                  <c:v>728897.47</c:v>
                </c:pt>
                <c:pt idx="4">
                  <c:v>666063.51</c:v>
                </c:pt>
                <c:pt idx="5">
                  <c:v>507012.13</c:v>
                </c:pt>
                <c:pt idx="6">
                  <c:v>493584.14</c:v>
                </c:pt>
                <c:pt idx="7">
                  <c:v>296498.40999999997</c:v>
                </c:pt>
                <c:pt idx="8">
                  <c:v>282836.7</c:v>
                </c:pt>
                <c:pt idx="9">
                  <c:v>268643.45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9-3E4E-8170-44C33075F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6703455"/>
        <c:axId val="836759967"/>
      </c:barChart>
      <c:catAx>
        <c:axId val="8367034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759967"/>
        <c:crosses val="autoZero"/>
        <c:auto val="1"/>
        <c:lblAlgn val="ctr"/>
        <c:lblOffset val="100"/>
        <c:noMultiLvlLbl val="0"/>
      </c:catAx>
      <c:valAx>
        <c:axId val="8367599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70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75000"/>
                  </a:schemeClr>
                </a:solidFill>
              </a:rPr>
              <a:t>Top 10</a:t>
            </a:r>
            <a:r>
              <a:rPr lang="en-US" b="1" baseline="0">
                <a:solidFill>
                  <a:schemeClr val="accent1">
                    <a:lumMod val="75000"/>
                  </a:schemeClr>
                </a:solidFill>
              </a:rPr>
              <a:t> categories </a:t>
            </a:r>
            <a:r>
              <a:rPr lang="en-US" b="1">
                <a:solidFill>
                  <a:schemeClr val="accent1">
                    <a:lumMod val="75000"/>
                  </a:schemeClr>
                </a:solidFill>
              </a:rPr>
              <a:t>b</a:t>
            </a:r>
            <a:r>
              <a:rPr lang="en-US" b="1" baseline="0">
                <a:solidFill>
                  <a:schemeClr val="accent1">
                    <a:lumMod val="75000"/>
                  </a:schemeClr>
                </a:solidFill>
              </a:rPr>
              <a:t>y sales performance</a:t>
            </a:r>
            <a:endParaRPr lang="en-US" b="1">
              <a:solidFill>
                <a:schemeClr val="accent1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olist_product_category!$B$1</c:f>
              <c:strCache>
                <c:ptCount val="1"/>
                <c:pt idx="0">
                  <c:v>merchandise_sales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olist_product_category!$A$2:$A$11</c:f>
              <c:strCache>
                <c:ptCount val="10"/>
                <c:pt idx="0">
                  <c:v>Beleza Saude</c:v>
                </c:pt>
                <c:pt idx="1">
                  <c:v>Relogios Presentes</c:v>
                </c:pt>
                <c:pt idx="2">
                  <c:v>Cama Mesa Banho</c:v>
                </c:pt>
                <c:pt idx="3">
                  <c:v>Esporte Lazer</c:v>
                </c:pt>
                <c:pt idx="4">
                  <c:v>Informatica Acessorios</c:v>
                </c:pt>
                <c:pt idx="5">
                  <c:v>Moveis Decoracao</c:v>
                </c:pt>
                <c:pt idx="6">
                  <c:v>Utilidades Domesticas</c:v>
                </c:pt>
                <c:pt idx="7">
                  <c:v>Cool Stuff</c:v>
                </c:pt>
                <c:pt idx="8">
                  <c:v>Automotivo</c:v>
                </c:pt>
                <c:pt idx="9">
                  <c:v>Brinquedos</c:v>
                </c:pt>
              </c:strCache>
            </c:strRef>
          </c:cat>
          <c:val>
            <c:numRef>
              <c:f>olist_product_category!$B$2:$B$11</c:f>
              <c:numCache>
                <c:formatCode>General</c:formatCode>
                <c:ptCount val="10"/>
                <c:pt idx="0">
                  <c:v>1233131.72</c:v>
                </c:pt>
                <c:pt idx="1">
                  <c:v>1166176.98</c:v>
                </c:pt>
                <c:pt idx="2">
                  <c:v>1023434.76</c:v>
                </c:pt>
                <c:pt idx="3">
                  <c:v>954852.55</c:v>
                </c:pt>
                <c:pt idx="4">
                  <c:v>888724.61</c:v>
                </c:pt>
                <c:pt idx="5">
                  <c:v>711927.69</c:v>
                </c:pt>
                <c:pt idx="6">
                  <c:v>615628.68999999994</c:v>
                </c:pt>
                <c:pt idx="7">
                  <c:v>610204.1</c:v>
                </c:pt>
                <c:pt idx="8">
                  <c:v>578966.65</c:v>
                </c:pt>
                <c:pt idx="9">
                  <c:v>471286.48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1-504C-87BE-BCF6D7161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1827711"/>
        <c:axId val="1211361183"/>
      </c:barChart>
      <c:catAx>
        <c:axId val="12118277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361183"/>
        <c:crosses val="autoZero"/>
        <c:auto val="1"/>
        <c:lblAlgn val="ctr"/>
        <c:lblOffset val="100"/>
        <c:noMultiLvlLbl val="0"/>
      </c:catAx>
      <c:valAx>
        <c:axId val="1211361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82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chart_data!$B$1</c:f>
              <c:strCache>
                <c:ptCount val="1"/>
                <c:pt idx="0">
                  <c:v>2017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chart_data!$A$2:$A$13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chart_data!$B$2:$B$13</c:f>
              <c:numCache>
                <c:formatCode>General</c:formatCode>
                <c:ptCount val="12"/>
                <c:pt idx="0">
                  <c:v>111798.36</c:v>
                </c:pt>
                <c:pt idx="1">
                  <c:v>234223.4</c:v>
                </c:pt>
                <c:pt idx="2">
                  <c:v>359198.85</c:v>
                </c:pt>
                <c:pt idx="3">
                  <c:v>340669.68</c:v>
                </c:pt>
                <c:pt idx="4">
                  <c:v>489338.25</c:v>
                </c:pt>
                <c:pt idx="5">
                  <c:v>421923.37</c:v>
                </c:pt>
                <c:pt idx="6">
                  <c:v>481604.52</c:v>
                </c:pt>
                <c:pt idx="7">
                  <c:v>554699.69999999995</c:v>
                </c:pt>
                <c:pt idx="8">
                  <c:v>607399.67000000004</c:v>
                </c:pt>
                <c:pt idx="9">
                  <c:v>648247.65</c:v>
                </c:pt>
                <c:pt idx="10">
                  <c:v>987765.37</c:v>
                </c:pt>
                <c:pt idx="11">
                  <c:v>726033.19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4C-294C-98A3-F4EA8BBB6930}"/>
            </c:ext>
          </c:extLst>
        </c:ser>
        <c:ser>
          <c:idx val="1"/>
          <c:order val="1"/>
          <c:tx>
            <c:strRef>
              <c:f>chart_data!$C$1</c:f>
              <c:strCache>
                <c:ptCount val="1"/>
                <c:pt idx="0">
                  <c:v>2018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chart_data!$A$2:$A$13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chart_data!$C$2:$C$13</c:f>
              <c:numCache>
                <c:formatCode>General</c:formatCode>
                <c:ptCount val="12"/>
                <c:pt idx="0">
                  <c:v>924645</c:v>
                </c:pt>
                <c:pt idx="1">
                  <c:v>826437.13</c:v>
                </c:pt>
                <c:pt idx="2">
                  <c:v>953356.25</c:v>
                </c:pt>
                <c:pt idx="3">
                  <c:v>973534.09</c:v>
                </c:pt>
                <c:pt idx="4">
                  <c:v>977544.69</c:v>
                </c:pt>
                <c:pt idx="5">
                  <c:v>856077.86</c:v>
                </c:pt>
                <c:pt idx="6">
                  <c:v>867953.46</c:v>
                </c:pt>
                <c:pt idx="7">
                  <c:v>838576.64000000001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4C-294C-98A3-F4EA8BBB6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604399"/>
        <c:axId val="1321093071"/>
      </c:lineChart>
      <c:catAx>
        <c:axId val="89060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093071"/>
        <c:crosses val="autoZero"/>
        <c:auto val="1"/>
        <c:lblAlgn val="ctr"/>
        <c:lblOffset val="100"/>
        <c:noMultiLvlLbl val="0"/>
      </c:catAx>
      <c:valAx>
        <c:axId val="132109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60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1">
                    <a:lumMod val="50000"/>
                  </a:schemeClr>
                </a:solidFill>
              </a:rPr>
              <a:t>Order &amp; AOV Growth — 2018 vs 2017</a:t>
            </a:r>
            <a:endParaRPr lang="en-US" b="1">
              <a:solidFill>
                <a:schemeClr val="accent1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chart_data!$F$1</c:f>
              <c:strCache>
                <c:ptCount val="1"/>
                <c:pt idx="0">
                  <c:v>order 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chart_data!$E$2:$E$9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</c:strCache>
            </c:strRef>
          </c:cat>
          <c:val>
            <c:numRef>
              <c:f>chart_data!$F$2:$F$9</c:f>
              <c:numCache>
                <c:formatCode>0.00%</c:formatCode>
                <c:ptCount val="8"/>
                <c:pt idx="0">
                  <c:v>8.4253</c:v>
                </c:pt>
                <c:pt idx="1">
                  <c:v>2.9655</c:v>
                </c:pt>
                <c:pt idx="2">
                  <c:v>1.7505999999999999</c:v>
                </c:pt>
                <c:pt idx="3">
                  <c:v>1.9518</c:v>
                </c:pt>
                <c:pt idx="4">
                  <c:v>0.90329999999999999</c:v>
                </c:pt>
                <c:pt idx="5">
                  <c:v>0.94550000000000001</c:v>
                </c:pt>
                <c:pt idx="6">
                  <c:v>0.5907</c:v>
                </c:pt>
                <c:pt idx="7">
                  <c:v>0.51469999999999994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1-0F4A-B6C4-573E8F28B6F7}"/>
            </c:ext>
          </c:extLst>
        </c:ser>
        <c:ser>
          <c:idx val="1"/>
          <c:order val="1"/>
          <c:tx>
            <c:strRef>
              <c:f>chart_data!$G$1</c:f>
              <c:strCache>
                <c:ptCount val="1"/>
                <c:pt idx="0">
                  <c:v>aov growth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chart_data!$E$2:$E$9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</c:strCache>
            </c:strRef>
          </c:cat>
          <c:val>
            <c:numRef>
              <c:f>chart_data!$G$2:$G$9</c:f>
              <c:numCache>
                <c:formatCode>0.00%</c:formatCode>
                <c:ptCount val="8"/>
                <c:pt idx="0">
                  <c:v>-0.1225</c:v>
                </c:pt>
                <c:pt idx="1">
                  <c:v>-0.11019999999999999</c:v>
                </c:pt>
                <c:pt idx="2">
                  <c:v>-3.5099999999999999E-2</c:v>
                </c:pt>
                <c:pt idx="3">
                  <c:v>-3.1899999999999998E-2</c:v>
                </c:pt>
                <c:pt idx="4">
                  <c:v>4.9599999999999998E-2</c:v>
                </c:pt>
                <c:pt idx="5">
                  <c:v>4.2900000000000001E-2</c:v>
                </c:pt>
                <c:pt idx="6">
                  <c:v>0.13300000000000001</c:v>
                </c:pt>
                <c:pt idx="7">
                  <c:v>-1.9E-3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81-0F4A-B6C4-573E8F28B6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94640207"/>
        <c:axId val="922608287"/>
      </c:barChart>
      <c:catAx>
        <c:axId val="89464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608287"/>
        <c:crosses val="autoZero"/>
        <c:auto val="1"/>
        <c:lblAlgn val="ctr"/>
        <c:lblOffset val="100"/>
        <c:noMultiLvlLbl val="0"/>
      </c:catAx>
      <c:valAx>
        <c:axId val="92260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64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Top 10 States by Late Orders</a:t>
            </a:r>
            <a:r>
              <a:rPr lang="en-US" sz="1400" b="0" i="0" u="none" strike="noStrike" baseline="0"/>
              <a:t>.</a:t>
            </a:r>
            <a:endParaRPr lang="en-US"/>
          </a:p>
        </c:rich>
      </c:tx>
      <c:layout>
        <c:manualLayout>
          <c:xMode val="edge"/>
          <c:yMode val="edge"/>
          <c:x val="0.43961111111111112"/>
          <c:y val="0.550925925925925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chart_data!$J$1</c:f>
              <c:strCache>
                <c:ptCount val="1"/>
                <c:pt idx="0">
                  <c:v>late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chart_data!$I$2:$I$11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BA</c:v>
                </c:pt>
                <c:pt idx="4">
                  <c:v>RS</c:v>
                </c:pt>
                <c:pt idx="5">
                  <c:v>SC</c:v>
                </c:pt>
                <c:pt idx="6">
                  <c:v>ES</c:v>
                </c:pt>
                <c:pt idx="7">
                  <c:v>PR</c:v>
                </c:pt>
                <c:pt idx="8">
                  <c:v>CE</c:v>
                </c:pt>
                <c:pt idx="9">
                  <c:v>PE</c:v>
                </c:pt>
              </c:strCache>
            </c:strRef>
          </c:cat>
          <c:val>
            <c:numRef>
              <c:f>chart_data!$J$2:$J$11</c:f>
              <c:numCache>
                <c:formatCode>General</c:formatCode>
                <c:ptCount val="10"/>
                <c:pt idx="0">
                  <c:v>1820</c:v>
                </c:pt>
                <c:pt idx="1">
                  <c:v>1495</c:v>
                </c:pt>
                <c:pt idx="2">
                  <c:v>519</c:v>
                </c:pt>
                <c:pt idx="3">
                  <c:v>396</c:v>
                </c:pt>
                <c:pt idx="4">
                  <c:v>325</c:v>
                </c:pt>
                <c:pt idx="5">
                  <c:v>291</c:v>
                </c:pt>
                <c:pt idx="6">
                  <c:v>214</c:v>
                </c:pt>
                <c:pt idx="7">
                  <c:v>199</c:v>
                </c:pt>
                <c:pt idx="8">
                  <c:v>176</c:v>
                </c:pt>
                <c:pt idx="9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C6-3243-87F0-03136C53C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0112447"/>
        <c:axId val="900112831"/>
      </c:barChart>
      <c:catAx>
        <c:axId val="9001124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112831"/>
        <c:crosses val="autoZero"/>
        <c:auto val="1"/>
        <c:lblAlgn val="ctr"/>
        <c:lblOffset val="100"/>
        <c:noMultiLvlLbl val="0"/>
      </c:catAx>
      <c:valAx>
        <c:axId val="90011283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11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90-Day Repeat Purchase Rate by Cohort</a:t>
            </a:r>
            <a:r>
              <a:rPr lang="en-US" sz="1400" b="0" i="0" u="none" strike="noStrike" baseline="0"/>
              <a:t>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chart_data!$M$1</c:f>
              <c:strCache>
                <c:ptCount val="1"/>
                <c:pt idx="0">
                  <c:v>90-Day Repeat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chart_data!$L$2:$L$18</c:f>
              <c:numCache>
                <c:formatCode>m/d/yy;@</c:formatCode>
                <c:ptCount val="17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</c:numCache>
            </c:numRef>
          </c:cat>
          <c:val>
            <c:numRef>
              <c:f>chart_data!$M$2:$M$18</c:f>
              <c:numCache>
                <c:formatCode>0.00%</c:formatCode>
                <c:ptCount val="17"/>
                <c:pt idx="0">
                  <c:v>3.6299999999999999E-2</c:v>
                </c:pt>
                <c:pt idx="1">
                  <c:v>1.72E-2</c:v>
                </c:pt>
                <c:pt idx="2">
                  <c:v>2.4799999999999999E-2</c:v>
                </c:pt>
                <c:pt idx="3">
                  <c:v>2.1299999999999999E-2</c:v>
                </c:pt>
                <c:pt idx="4">
                  <c:v>2.8399999999999998E-2</c:v>
                </c:pt>
                <c:pt idx="5">
                  <c:v>2.8300000000000002E-2</c:v>
                </c:pt>
                <c:pt idx="6">
                  <c:v>2.5899999999999999E-2</c:v>
                </c:pt>
                <c:pt idx="7">
                  <c:v>2.76E-2</c:v>
                </c:pt>
                <c:pt idx="8">
                  <c:v>2.8500000000000001E-2</c:v>
                </c:pt>
                <c:pt idx="9">
                  <c:v>2.2400000000000003E-2</c:v>
                </c:pt>
                <c:pt idx="10">
                  <c:v>2.3199999999999998E-2</c:v>
                </c:pt>
                <c:pt idx="11">
                  <c:v>1.72E-2</c:v>
                </c:pt>
                <c:pt idx="12">
                  <c:v>2.18E-2</c:v>
                </c:pt>
                <c:pt idx="13">
                  <c:v>2.9900000000000003E-2</c:v>
                </c:pt>
                <c:pt idx="14">
                  <c:v>1.9799999999999998E-2</c:v>
                </c:pt>
                <c:pt idx="15">
                  <c:v>1.6899999999999998E-2</c:v>
                </c:pt>
                <c:pt idx="16">
                  <c:v>1.61E-2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8C-0149-B976-00014139C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6348559"/>
        <c:axId val="900717071"/>
      </c:lineChart>
      <c:dateAx>
        <c:axId val="896348559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17071"/>
        <c:crosses val="autoZero"/>
        <c:auto val="1"/>
        <c:lblOffset val="100"/>
        <c:baseTimeUnit val="months"/>
      </c:dateAx>
      <c:valAx>
        <c:axId val="90071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34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Top 10 States by Freight Burden</a:t>
            </a:r>
            <a:endParaRPr lang="en-US" b="1">
              <a:solidFill>
                <a:schemeClr val="accent1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chart_data!$P$1</c:f>
              <c:strCache>
                <c:ptCount val="1"/>
                <c:pt idx="0">
                  <c:v>Freight / Merchandise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chart_data!$O$2:$O$11</c:f>
              <c:strCache>
                <c:ptCount val="10"/>
                <c:pt idx="0">
                  <c:v>MA</c:v>
                </c:pt>
                <c:pt idx="1">
                  <c:v>RO</c:v>
                </c:pt>
                <c:pt idx="2">
                  <c:v>AM</c:v>
                </c:pt>
                <c:pt idx="3">
                  <c:v>SE</c:v>
                </c:pt>
                <c:pt idx="4">
                  <c:v>PI</c:v>
                </c:pt>
                <c:pt idx="5">
                  <c:v>TO</c:v>
                </c:pt>
                <c:pt idx="6">
                  <c:v>PE</c:v>
                </c:pt>
                <c:pt idx="7">
                  <c:v>RN</c:v>
                </c:pt>
                <c:pt idx="8">
                  <c:v>PB</c:v>
                </c:pt>
                <c:pt idx="9">
                  <c:v>PA</c:v>
                </c:pt>
              </c:strCache>
            </c:strRef>
          </c:cat>
          <c:val>
            <c:numRef>
              <c:f>chart_data!$P$2:$P$11</c:f>
              <c:numCache>
                <c:formatCode>0.00%</c:formatCode>
                <c:ptCount val="10"/>
                <c:pt idx="0">
                  <c:v>0.26319999999999999</c:v>
                </c:pt>
                <c:pt idx="1">
                  <c:v>0.247</c:v>
                </c:pt>
                <c:pt idx="2">
                  <c:v>0.24510000000000001</c:v>
                </c:pt>
                <c:pt idx="3">
                  <c:v>0.24239999999999998</c:v>
                </c:pt>
                <c:pt idx="4">
                  <c:v>0.24149999999999999</c:v>
                </c:pt>
                <c:pt idx="5">
                  <c:v>0.23980000000000001</c:v>
                </c:pt>
                <c:pt idx="6">
                  <c:v>0.2266</c:v>
                </c:pt>
                <c:pt idx="7">
                  <c:v>0.2266</c:v>
                </c:pt>
                <c:pt idx="8">
                  <c:v>0.2243</c:v>
                </c:pt>
                <c:pt idx="9">
                  <c:v>0.2152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A4-4441-B663-1566726DB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5049983"/>
        <c:axId val="545056063"/>
      </c:barChart>
      <c:catAx>
        <c:axId val="54504998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056063"/>
        <c:crosses val="autoZero"/>
        <c:auto val="1"/>
        <c:lblAlgn val="ctr"/>
        <c:lblOffset val="100"/>
        <c:noMultiLvlLbl val="0"/>
      </c:catAx>
      <c:valAx>
        <c:axId val="54505606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04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Top 5 Sellers by Late Orders</a:t>
            </a:r>
            <a:endParaRPr lang="en-US" b="1">
              <a:solidFill>
                <a:schemeClr val="accent1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25083333333333335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chart_data!$S$1</c:f>
              <c:strCache>
                <c:ptCount val="1"/>
                <c:pt idx="0">
                  <c:v>Late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chart_data!$R$2:$R$16</c:f>
              <c:strCache>
                <c:ptCount val="15"/>
                <c:pt idx="0">
                  <c:v>4a3ca931</c:v>
                </c:pt>
                <c:pt idx="1">
                  <c:v>1f50f920</c:v>
                </c:pt>
                <c:pt idx="2">
                  <c:v>4869f7a5</c:v>
                </c:pt>
                <c:pt idx="3">
                  <c:v>6560211a</c:v>
                </c:pt>
                <c:pt idx="4">
                  <c:v>ea8482cd</c:v>
                </c:pt>
                <c:pt idx="5">
                  <c:v>7c67e144</c:v>
                </c:pt>
                <c:pt idx="6">
                  <c:v>cc419e06</c:v>
                </c:pt>
                <c:pt idx="7">
                  <c:v>da8622b1</c:v>
                </c:pt>
                <c:pt idx="8">
                  <c:v>8b321bb6</c:v>
                </c:pt>
                <c:pt idx="9">
                  <c:v>955fee92</c:v>
                </c:pt>
                <c:pt idx="10">
                  <c:v>06a2c3af</c:v>
                </c:pt>
                <c:pt idx="11">
                  <c:v>1025f0e2</c:v>
                </c:pt>
                <c:pt idx="12">
                  <c:v>7d13fca1</c:v>
                </c:pt>
                <c:pt idx="13">
                  <c:v>620c87c1</c:v>
                </c:pt>
                <c:pt idx="14">
                  <c:v>7a67c85e</c:v>
                </c:pt>
              </c:strCache>
            </c:strRef>
          </c:cat>
          <c:val>
            <c:numRef>
              <c:f>chart_data!$S$2:$S$16</c:f>
              <c:numCache>
                <c:formatCode>General</c:formatCode>
                <c:ptCount val="15"/>
                <c:pt idx="0">
                  <c:v>172</c:v>
                </c:pt>
                <c:pt idx="1">
                  <c:v>124</c:v>
                </c:pt>
                <c:pt idx="2">
                  <c:v>118</c:v>
                </c:pt>
                <c:pt idx="3">
                  <c:v>96</c:v>
                </c:pt>
                <c:pt idx="4">
                  <c:v>96</c:v>
                </c:pt>
                <c:pt idx="5">
                  <c:v>89</c:v>
                </c:pt>
                <c:pt idx="6">
                  <c:v>87</c:v>
                </c:pt>
                <c:pt idx="7">
                  <c:v>87</c:v>
                </c:pt>
                <c:pt idx="8">
                  <c:v>81</c:v>
                </c:pt>
                <c:pt idx="9">
                  <c:v>77</c:v>
                </c:pt>
                <c:pt idx="10">
                  <c:v>74</c:v>
                </c:pt>
                <c:pt idx="11">
                  <c:v>72</c:v>
                </c:pt>
                <c:pt idx="12">
                  <c:v>64</c:v>
                </c:pt>
                <c:pt idx="13">
                  <c:v>63</c:v>
                </c:pt>
                <c:pt idx="1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F-C64A-9B25-B8ECF5EA63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4699375"/>
        <c:axId val="540133311"/>
      </c:barChart>
      <c:catAx>
        <c:axId val="5446993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33311"/>
        <c:crosses val="autoZero"/>
        <c:auto val="1"/>
        <c:lblAlgn val="ctr"/>
        <c:lblOffset val="100"/>
        <c:noMultiLvlLbl val="0"/>
      </c:catAx>
      <c:valAx>
        <c:axId val="54013331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69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317500</xdr:colOff>
      <xdr:row>24</xdr:row>
      <xdr:rowOff>0</xdr:rowOff>
    </xdr:from>
    <xdr:to>
      <xdr:col>25</xdr:col>
      <xdr:colOff>50800</xdr:colOff>
      <xdr:row>25</xdr:row>
      <xdr:rowOff>203200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094F6A-A7A4-B146-85E8-737C8101D874}"/>
            </a:ext>
          </a:extLst>
        </xdr:cNvPr>
        <xdr:cNvSpPr txBox="1"/>
      </xdr:nvSpPr>
      <xdr:spPr>
        <a:xfrm>
          <a:off x="762000" y="6705600"/>
          <a:ext cx="10401300" cy="482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accent1">
                  <a:lumMod val="75000"/>
                </a:schemeClr>
              </a:solidFill>
            </a:rPr>
            <a:t>São Paulo and Rio de Janeiro account for 50.73% of all late orders, making them priorities for delivery improvement. Across fully observed cohorts, 2.28% of customers purchased again within 90 days.</a:t>
          </a:r>
        </a:p>
      </xdr:txBody>
    </xdr:sp>
    <xdr:clientData/>
  </xdr:twoCellAnchor>
  <xdr:oneCellAnchor>
    <xdr:from>
      <xdr:col>1</xdr:col>
      <xdr:colOff>317500</xdr:colOff>
      <xdr:row>37</xdr:row>
      <xdr:rowOff>215900</xdr:rowOff>
    </xdr:from>
    <xdr:ext cx="1028700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E943DB4-B6CD-404E-AF05-CDCE902AC292}"/>
            </a:ext>
          </a:extLst>
        </xdr:cNvPr>
        <xdr:cNvSpPr txBox="1"/>
      </xdr:nvSpPr>
      <xdr:spPr>
        <a:xfrm>
          <a:off x="762000" y="10553700"/>
          <a:ext cx="102870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accent1">
                  <a:lumMod val="75000"/>
                </a:schemeClr>
              </a:solidFill>
            </a:rPr>
            <a:t>Maranhão has the highest freight burden at 26.32% of merchandise sales. Seller 4a3ca931 is associated with 172 late orders, with a 9.71% late-delivery rate versus 6.77% overall.</a:t>
          </a:r>
        </a:p>
      </xdr:txBody>
    </xdr:sp>
    <xdr:clientData/>
  </xdr:oneCellAnchor>
  <xdr:twoCellAnchor>
    <xdr:from>
      <xdr:col>1</xdr:col>
      <xdr:colOff>406400</xdr:colOff>
      <xdr:row>12</xdr:row>
      <xdr:rowOff>215900</xdr:rowOff>
    </xdr:from>
    <xdr:to>
      <xdr:col>12</xdr:col>
      <xdr:colOff>88900</xdr:colOff>
      <xdr:row>22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5CFC478-B3FC-EB4E-AF01-A3C4DC40C9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266700</xdr:colOff>
      <xdr:row>12</xdr:row>
      <xdr:rowOff>215900</xdr:rowOff>
    </xdr:from>
    <xdr:to>
      <xdr:col>24</xdr:col>
      <xdr:colOff>393700</xdr:colOff>
      <xdr:row>22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B426F30-C2C8-A049-8F13-157A92B8A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368300</xdr:colOff>
      <xdr:row>26</xdr:row>
      <xdr:rowOff>190500</xdr:rowOff>
    </xdr:from>
    <xdr:to>
      <xdr:col>12</xdr:col>
      <xdr:colOff>50800</xdr:colOff>
      <xdr:row>36</xdr:row>
      <xdr:rowOff>139700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F670529-1314-734A-8516-DE8B3C791D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406400</xdr:colOff>
      <xdr:row>26</xdr:row>
      <xdr:rowOff>241300</xdr:rowOff>
    </xdr:from>
    <xdr:to>
      <xdr:col>25</xdr:col>
      <xdr:colOff>88900</xdr:colOff>
      <xdr:row>36</xdr:row>
      <xdr:rowOff>50800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FADDE02-964F-394B-BFE0-97C2A09DD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177800</xdr:colOff>
      <xdr:row>8</xdr:row>
      <xdr:rowOff>6350</xdr:rowOff>
    </xdr:from>
    <xdr:to>
      <xdr:col>7</xdr:col>
      <xdr:colOff>622300</xdr:colOff>
      <xdr:row>21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0D3B4-7986-4D44-8034-14D221AF7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8</xdr:row>
      <xdr:rowOff>31750</xdr:rowOff>
    </xdr:from>
    <xdr:to>
      <xdr:col>12</xdr:col>
      <xdr:colOff>361950</xdr:colOff>
      <xdr:row>21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81143F-9FA8-AC42-AF89-AB0058574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13</xdr:row>
      <xdr:rowOff>0</xdr:rowOff>
    </xdr:from>
    <xdr:to>
      <xdr:col>12</xdr:col>
      <xdr:colOff>127000</xdr:colOff>
      <xdr:row>22</xdr:row>
      <xdr:rowOff>228600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DF3149-30FF-0F40-9ECF-BFBB72F5A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25400</xdr:colOff>
      <xdr:row>13</xdr:row>
      <xdr:rowOff>63500</xdr:rowOff>
    </xdr:from>
    <xdr:to>
      <xdr:col>25</xdr:col>
      <xdr:colOff>152400</xdr:colOff>
      <xdr:row>22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3CA4C9-2D7B-D04B-8671-58354A444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317500</xdr:colOff>
      <xdr:row>24</xdr:row>
      <xdr:rowOff>0</xdr:rowOff>
    </xdr:from>
    <xdr:to>
      <xdr:col>24</xdr:col>
      <xdr:colOff>215900</xdr:colOff>
      <xdr:row>25</xdr:row>
      <xdr:rowOff>203200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40AC534-16E4-6F46-BE60-84405E14E6E3}"/>
            </a:ext>
          </a:extLst>
        </xdr:cNvPr>
        <xdr:cNvSpPr txBox="1"/>
      </xdr:nvSpPr>
      <xdr:spPr>
        <a:xfrm>
          <a:off x="762000" y="6705600"/>
          <a:ext cx="10121900" cy="482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accent1">
                  <a:lumMod val="75000"/>
                </a:schemeClr>
              </a:solidFill>
            </a:rPr>
            <a:t>Compared with Jan–Aug 2017, Jan–Aug 2018 sales grew 141.13%, delivered orders grew 139.94%, and AOV grew just 0.49%. Growth came mainly from more orders.</a:t>
          </a:r>
        </a:p>
      </xdr:txBody>
    </xdr:sp>
    <xdr:clientData/>
  </xdr:twoCellAnchor>
  <xdr:twoCellAnchor>
    <xdr:from>
      <xdr:col>2</xdr:col>
      <xdr:colOff>0</xdr:colOff>
      <xdr:row>27</xdr:row>
      <xdr:rowOff>0</xdr:rowOff>
    </xdr:from>
    <xdr:to>
      <xdr:col>12</xdr:col>
      <xdr:colOff>127000</xdr:colOff>
      <xdr:row>36</xdr:row>
      <xdr:rowOff>228600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3CA0B5-801B-044C-946F-3B351118D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27</xdr:row>
      <xdr:rowOff>0</xdr:rowOff>
    </xdr:from>
    <xdr:to>
      <xdr:col>25</xdr:col>
      <xdr:colOff>127000</xdr:colOff>
      <xdr:row>36</xdr:row>
      <xdr:rowOff>228600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E8B2EC5-1556-914F-9380-29939C078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2</xdr:col>
      <xdr:colOff>0</xdr:colOff>
      <xdr:row>37</xdr:row>
      <xdr:rowOff>241300</xdr:rowOff>
    </xdr:from>
    <xdr:ext cx="956310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C6D12B4-D598-AA4D-9674-3F0F0EDBF433}"/>
            </a:ext>
          </a:extLst>
        </xdr:cNvPr>
        <xdr:cNvSpPr txBox="1"/>
      </xdr:nvSpPr>
      <xdr:spPr>
        <a:xfrm>
          <a:off x="889000" y="10579100"/>
          <a:ext cx="95631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accent1">
                  <a:lumMod val="75000"/>
                </a:schemeClr>
              </a:solidFill>
            </a:rPr>
            <a:t>Sales are concentrated: São Paulo, Rio de Janeiro and Minas Gerais account for 63.38% of merchandise sales, while the top 10 product categories contribute 62.43%.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171450</xdr:rowOff>
    </xdr:from>
    <xdr:to>
      <xdr:col>6</xdr:col>
      <xdr:colOff>571500</xdr:colOff>
      <xdr:row>27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042F10-6FC7-5244-BB39-413C86191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190500</xdr:colOff>
      <xdr:row>17</xdr:row>
      <xdr:rowOff>171450</xdr:rowOff>
    </xdr:from>
    <xdr:to>
      <xdr:col>6</xdr:col>
      <xdr:colOff>558800</xdr:colOff>
      <xdr:row>31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2E48F9-73BB-E244-82A3-CD16629C2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812800</xdr:colOff>
      <xdr:row>18</xdr:row>
      <xdr:rowOff>82550</xdr:rowOff>
    </xdr:from>
    <xdr:to>
      <xdr:col>7</xdr:col>
      <xdr:colOff>355600</xdr:colOff>
      <xdr:row>31</xdr:row>
      <xdr:rowOff>184150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ABD87E-3CD7-414F-862F-605378F6D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14</xdr:row>
      <xdr:rowOff>209550</xdr:rowOff>
    </xdr:from>
    <xdr:to>
      <xdr:col>6</xdr:col>
      <xdr:colOff>368300</xdr:colOff>
      <xdr:row>28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B8F668-77B1-2247-9FEE-66A4D1AED6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273050</xdr:colOff>
      <xdr:row>15</xdr:row>
      <xdr:rowOff>31750</xdr:rowOff>
    </xdr:from>
    <xdr:to>
      <xdr:col>6</xdr:col>
      <xdr:colOff>641350</xdr:colOff>
      <xdr:row>27</xdr:row>
      <xdr:rowOff>184150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805C64-C106-124E-98E5-F1EF4D904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1917700</xdr:colOff>
      <xdr:row>17</xdr:row>
      <xdr:rowOff>95250</xdr:rowOff>
    </xdr:from>
    <xdr:to>
      <xdr:col>22</xdr:col>
      <xdr:colOff>660400</xdr:colOff>
      <xdr:row>30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BFC5C3-2BD8-C243-A4B8-1D46F4D15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ownloads/dataqualit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quality"/>
    </sheetNames>
    <sheetDataSet>
      <sheetData sheetId="0">
        <row r="1">
          <cell r="B1" t="str">
            <v>order_count</v>
          </cell>
        </row>
        <row r="2">
          <cell r="A2" t="str">
            <v>Passed date checks</v>
          </cell>
          <cell r="B2">
            <v>98051</v>
          </cell>
        </row>
        <row r="3">
          <cell r="A3" t="str">
            <v>Flagged for review</v>
          </cell>
          <cell r="B3">
            <v>1390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64C0-8C69-8C4A-9A03-B5085578149D}">
  <dimension ref="A1:Z45"/>
  <sheetViews>
    <sheetView showGridLines="0" showRowColHeaders="0" topLeftCell="A2" zoomScale="61" zoomScaleNormal="61" workbookViewId="0">
      <selection activeCell="D41" sqref="D41"/>
    </sheetView>
  </sheetViews>
  <sheetFormatPr baseColWidth="10" defaultRowHeight="16"/>
  <cols>
    <col min="1" max="26" width="5.83203125" customWidth="1"/>
  </cols>
  <sheetData xmlns="http://schemas.openxmlformats.org/spreadsheetml/2006/main">
    <row r="1" spans="1:26" ht="22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2" customHeight="1">
      <c r="A2" s="6"/>
      <c r="B2" s="11" t="s">
        <v>125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6"/>
    </row>
    <row r="3" spans="1:26" ht="22" customHeight="1">
      <c r="A3" s="6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6"/>
    </row>
    <row r="4" spans="1:26" ht="22" customHeight="1">
      <c r="A4" s="6"/>
      <c r="B4" s="13" t="s">
        <v>126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6"/>
    </row>
    <row r="5" spans="1:26" ht="22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2" customHeight="1">
      <c r="A6" s="6"/>
      <c r="B6" s="7" t="s">
        <v>127</v>
      </c>
      <c r="C6" s="8"/>
      <c r="D6" s="8"/>
      <c r="E6" s="8"/>
      <c r="F6" s="8"/>
      <c r="G6" s="6"/>
      <c r="H6" s="7" t="s">
        <v>128</v>
      </c>
      <c r="I6" s="8"/>
      <c r="J6" s="8"/>
      <c r="K6" s="8"/>
      <c r="L6" s="8"/>
      <c r="M6" s="6"/>
      <c r="N6" s="7" t="s">
        <v>129</v>
      </c>
      <c r="O6" s="8"/>
      <c r="P6" s="8"/>
      <c r="Q6" s="8"/>
      <c r="R6" s="8"/>
      <c r="S6" s="6"/>
      <c r="T6" s="7" t="s">
        <v>130</v>
      </c>
      <c r="U6" s="8"/>
      <c r="V6" s="8"/>
      <c r="W6" s="8"/>
      <c r="X6" s="8"/>
      <c r="Y6" s="6"/>
      <c r="Z6" s="6"/>
    </row>
    <row r="7" spans="1:26" ht="22" customHeight="1">
      <c r="A7" s="6"/>
      <c r="B7" s="14">
        <f>SUM(delivery_priority!D2:D28)/SUM(delivery_priority!C2:C28)</f>
        <v>6.7730900798175592E-2</v>
      </c>
      <c r="C7" s="14"/>
      <c r="D7" s="14"/>
      <c r="E7" s="14"/>
      <c r="F7" s="14"/>
      <c r="G7" s="6"/>
      <c r="H7" s="15">
        <f>SUM(delivery_priority!D2:D28)</f>
        <v>6534</v>
      </c>
      <c r="I7" s="15"/>
      <c r="J7" s="15"/>
      <c r="K7" s="15"/>
      <c r="L7" s="15"/>
      <c r="M7" s="6"/>
      <c r="N7" s="14">
        <f>SUM(monthly_growth!F2:F21)/SUM(monthly_growth!D2:D21)</f>
        <v>0.16630668144296581</v>
      </c>
      <c r="O7" s="14"/>
      <c r="P7" s="14"/>
      <c r="Q7" s="14"/>
      <c r="R7" s="14"/>
      <c r="S7" s="6"/>
      <c r="T7" s="14">
        <f>SUM(customer_repeat_90d!C2:C18)/SUM(customer_repeat_90d!B2:B18)</f>
        <v>2.2775980724944425E-2</v>
      </c>
      <c r="U7" s="14"/>
      <c r="V7" s="14"/>
      <c r="W7" s="14"/>
      <c r="X7" s="14"/>
      <c r="Y7" s="6"/>
      <c r="Z7" s="6"/>
    </row>
    <row r="8" spans="1:26" ht="22" customHeight="1">
      <c r="A8" s="6"/>
      <c r="B8" s="14"/>
      <c r="C8" s="14"/>
      <c r="D8" s="14"/>
      <c r="E8" s="14"/>
      <c r="F8" s="14"/>
      <c r="G8" s="6"/>
      <c r="H8" s="15"/>
      <c r="I8" s="15"/>
      <c r="J8" s="15"/>
      <c r="K8" s="15"/>
      <c r="L8" s="15"/>
      <c r="M8" s="6"/>
      <c r="N8" s="14"/>
      <c r="O8" s="14"/>
      <c r="P8" s="14"/>
      <c r="Q8" s="14"/>
      <c r="R8" s="14"/>
      <c r="S8" s="6"/>
      <c r="T8" s="14"/>
      <c r="U8" s="14"/>
      <c r="V8" s="14"/>
      <c r="W8" s="14"/>
      <c r="X8" s="14"/>
      <c r="Y8" s="6"/>
      <c r="Z8" s="6"/>
    </row>
    <row r="9" spans="1:26" ht="22" customHeight="1">
      <c r="A9" s="6"/>
      <c r="B9" s="14"/>
      <c r="C9" s="14"/>
      <c r="D9" s="14"/>
      <c r="E9" s="14"/>
      <c r="F9" s="14"/>
      <c r="G9" s="6"/>
      <c r="H9" s="15"/>
      <c r="I9" s="15"/>
      <c r="J9" s="15"/>
      <c r="K9" s="15"/>
      <c r="L9" s="15"/>
      <c r="M9" s="6"/>
      <c r="N9" s="14"/>
      <c r="O9" s="14"/>
      <c r="P9" s="14"/>
      <c r="Q9" s="14"/>
      <c r="R9" s="14"/>
      <c r="S9" s="6"/>
      <c r="T9" s="14"/>
      <c r="U9" s="14"/>
      <c r="V9" s="14"/>
      <c r="W9" s="14"/>
      <c r="X9" s="14"/>
      <c r="Y9" s="6"/>
      <c r="Z9" s="6"/>
    </row>
    <row r="10" spans="1:26" ht="22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2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2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2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2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2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2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2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2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2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2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2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2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2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2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2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2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2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2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2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2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2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2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2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2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2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2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22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2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2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22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22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2" customHeight="1">
      <c r="B42" s="23" t="str">
        <v>Seller IDs show the first 8 characters for display only. All 15 analysed seller labels were checked as unique. Full IDs are retained for joins and calculations.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ht="22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ht="22" customHeight="1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6" ht="22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</sheetData>
  <mergeCells xmlns="http://schemas.openxmlformats.org/spreadsheetml/2006/main" count="7">
    <mergeCell ref="B2:Y3"/>
    <mergeCell ref="B4:Y4"/>
    <mergeCell ref="B7:F9"/>
    <mergeCell ref="H7:L9"/>
    <mergeCell ref="N7:R9"/>
    <mergeCell ref="T7:X9"/>
    <mergeCell ref="B42:Y44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/>
  </sheetViews>
  <sheetFormatPr baseColWidth="10" defaultRowHeight="16"/>
  <cols>
    <col min="1" max="1" width="23" customWidth="1"/>
    <col min="2" max="2" width="19.83203125" customWidth="1"/>
    <col min="3" max="3" width="16.6640625" customWidth="1"/>
    <col min="4" max="4" width="17.5" customWidth="1"/>
    <col min="5" max="5" width="28.1640625" customWidth="1"/>
    <col min="6" max="6" width="25.6640625" customWidth="1"/>
    <col min="7" max="7" width="20.6640625" customWidth="1"/>
    <col min="8" max="8" width="23.33203125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42614</v>
      </c>
      <c r="B2">
        <v>4</v>
      </c>
      <c r="C2">
        <v>1</v>
      </c>
      <c r="D2">
        <v>2</v>
      </c>
      <c r="E2">
        <v>1</v>
      </c>
      <c r="F2">
        <v>134.97</v>
      </c>
      <c r="G2">
        <v>8.49</v>
      </c>
      <c r="H2">
        <v>134.97</v>
      </c>
      <c r="I2" t="s">
        <v>9</v>
      </c>
    </row>
    <row r="3" spans="1:9">
      <c r="A3" s="1">
        <v>42644</v>
      </c>
      <c r="B3">
        <v>324</v>
      </c>
      <c r="C3">
        <v>265</v>
      </c>
      <c r="D3">
        <v>24</v>
      </c>
      <c r="E3">
        <v>265</v>
      </c>
      <c r="F3">
        <v>40325.11</v>
      </c>
      <c r="G3">
        <v>6165.55</v>
      </c>
      <c r="H3">
        <v>152.16999999999999</v>
      </c>
      <c r="I3">
        <v>29777.09</v>
      </c>
    </row>
    <row r="4" spans="1:9">
      <c r="A4" s="1">
        <v>42705</v>
      </c>
      <c r="B4">
        <v>1</v>
      </c>
      <c r="C4">
        <v>1</v>
      </c>
      <c r="D4">
        <v>0</v>
      </c>
      <c r="E4">
        <v>1</v>
      </c>
      <c r="F4">
        <v>10.9</v>
      </c>
      <c r="G4">
        <v>8.7200000000000006</v>
      </c>
      <c r="H4">
        <v>10.9</v>
      </c>
      <c r="I4" t="s">
        <v>9</v>
      </c>
    </row>
    <row r="5" spans="1:9">
      <c r="A5" s="1">
        <v>42736</v>
      </c>
      <c r="B5">
        <v>800</v>
      </c>
      <c r="C5">
        <v>750</v>
      </c>
      <c r="D5">
        <v>3</v>
      </c>
      <c r="E5">
        <v>750</v>
      </c>
      <c r="F5">
        <v>111798.36</v>
      </c>
      <c r="G5">
        <v>15684.01</v>
      </c>
      <c r="H5">
        <v>149.06</v>
      </c>
      <c r="I5">
        <v>1025573.03</v>
      </c>
    </row>
    <row r="6" spans="1:9">
      <c r="A6" s="1">
        <v>42767</v>
      </c>
      <c r="B6">
        <v>1780</v>
      </c>
      <c r="C6">
        <v>1653</v>
      </c>
      <c r="D6">
        <v>17</v>
      </c>
      <c r="E6">
        <v>1653</v>
      </c>
      <c r="F6">
        <v>234223.4</v>
      </c>
      <c r="G6">
        <v>37015.919999999998</v>
      </c>
      <c r="H6">
        <v>141.69999999999999</v>
      </c>
      <c r="I6">
        <v>109.51</v>
      </c>
    </row>
    <row r="7" spans="1:9">
      <c r="A7" s="1">
        <v>42795</v>
      </c>
      <c r="B7">
        <v>2682</v>
      </c>
      <c r="C7">
        <v>2546</v>
      </c>
      <c r="D7">
        <v>33</v>
      </c>
      <c r="E7">
        <v>2546</v>
      </c>
      <c r="F7">
        <v>359198.85</v>
      </c>
      <c r="G7">
        <v>55132.1</v>
      </c>
      <c r="H7">
        <v>141.08000000000001</v>
      </c>
      <c r="I7">
        <v>53.36</v>
      </c>
    </row>
    <row r="8" spans="1:9">
      <c r="A8" s="1">
        <v>42826</v>
      </c>
      <c r="B8">
        <v>2404</v>
      </c>
      <c r="C8">
        <v>2303</v>
      </c>
      <c r="D8">
        <v>18</v>
      </c>
      <c r="E8">
        <v>2303</v>
      </c>
      <c r="F8">
        <v>340669.68</v>
      </c>
      <c r="G8">
        <v>50142.720000000001</v>
      </c>
      <c r="H8">
        <v>147.91999999999999</v>
      </c>
      <c r="I8">
        <v>-5.16</v>
      </c>
    </row>
    <row r="9" spans="1:9">
      <c r="A9" s="1">
        <v>42856</v>
      </c>
      <c r="B9">
        <v>3700</v>
      </c>
      <c r="C9">
        <v>3546</v>
      </c>
      <c r="D9">
        <v>29</v>
      </c>
      <c r="E9">
        <v>3546</v>
      </c>
      <c r="F9">
        <v>489338.25</v>
      </c>
      <c r="G9">
        <v>77513.149999999994</v>
      </c>
      <c r="H9">
        <v>138</v>
      </c>
      <c r="I9">
        <v>43.64</v>
      </c>
    </row>
    <row r="10" spans="1:9">
      <c r="A10" s="1">
        <v>42887</v>
      </c>
      <c r="B10">
        <v>3245</v>
      </c>
      <c r="C10">
        <v>3135</v>
      </c>
      <c r="D10">
        <v>16</v>
      </c>
      <c r="E10">
        <v>3135</v>
      </c>
      <c r="F10">
        <v>421923.37</v>
      </c>
      <c r="G10">
        <v>68127</v>
      </c>
      <c r="H10">
        <v>134.58000000000001</v>
      </c>
      <c r="I10">
        <v>-13.78</v>
      </c>
    </row>
    <row r="11" spans="1:9">
      <c r="A11" s="1">
        <v>42917</v>
      </c>
      <c r="B11">
        <v>4026</v>
      </c>
      <c r="C11">
        <v>3872</v>
      </c>
      <c r="D11">
        <v>28</v>
      </c>
      <c r="E11">
        <v>3872</v>
      </c>
      <c r="F11">
        <v>481604.52</v>
      </c>
      <c r="G11">
        <v>84694.56</v>
      </c>
      <c r="H11">
        <v>124.38</v>
      </c>
      <c r="I11">
        <v>14.15</v>
      </c>
    </row>
    <row r="12" spans="1:9">
      <c r="A12" s="1">
        <v>42948</v>
      </c>
      <c r="B12">
        <v>4331</v>
      </c>
      <c r="C12">
        <v>4193</v>
      </c>
      <c r="D12">
        <v>27</v>
      </c>
      <c r="E12">
        <v>4193</v>
      </c>
      <c r="F12">
        <v>554699.69999999995</v>
      </c>
      <c r="G12">
        <v>91132.66</v>
      </c>
      <c r="H12">
        <v>132.29</v>
      </c>
      <c r="I12">
        <v>15.18</v>
      </c>
    </row>
    <row r="13" spans="1:9">
      <c r="A13" s="1">
        <v>42979</v>
      </c>
      <c r="B13">
        <v>4285</v>
      </c>
      <c r="C13">
        <v>4150</v>
      </c>
      <c r="D13">
        <v>20</v>
      </c>
      <c r="E13">
        <v>4150</v>
      </c>
      <c r="F13">
        <v>607399.67000000004</v>
      </c>
      <c r="G13">
        <v>93677.82</v>
      </c>
      <c r="H13">
        <v>146.36000000000001</v>
      </c>
      <c r="I13">
        <v>9.5</v>
      </c>
    </row>
    <row r="14" spans="1:9">
      <c r="A14" s="1">
        <v>43009</v>
      </c>
      <c r="B14">
        <v>4631</v>
      </c>
      <c r="C14">
        <v>4478</v>
      </c>
      <c r="D14">
        <v>26</v>
      </c>
      <c r="E14">
        <v>4478</v>
      </c>
      <c r="F14">
        <v>648247.65</v>
      </c>
      <c r="G14">
        <v>102869.36</v>
      </c>
      <c r="H14">
        <v>144.76</v>
      </c>
      <c r="I14">
        <v>6.73</v>
      </c>
    </row>
    <row r="15" spans="1:9">
      <c r="A15" s="1">
        <v>43040</v>
      </c>
      <c r="B15">
        <v>7544</v>
      </c>
      <c r="C15">
        <v>7289</v>
      </c>
      <c r="D15">
        <v>37</v>
      </c>
      <c r="E15">
        <v>7289</v>
      </c>
      <c r="F15">
        <v>987765.37</v>
      </c>
      <c r="G15">
        <v>165598.82999999999</v>
      </c>
      <c r="H15">
        <v>135.51</v>
      </c>
      <c r="I15">
        <v>52.37</v>
      </c>
    </row>
    <row r="16" spans="1:9">
      <c r="A16" s="1">
        <v>43070</v>
      </c>
      <c r="B16">
        <v>5673</v>
      </c>
      <c r="C16">
        <v>5513</v>
      </c>
      <c r="D16">
        <v>11</v>
      </c>
      <c r="E16">
        <v>5513</v>
      </c>
      <c r="F16">
        <v>726033.19</v>
      </c>
      <c r="G16">
        <v>117045.1</v>
      </c>
      <c r="H16">
        <v>131.69</v>
      </c>
      <c r="I16">
        <v>-26.5</v>
      </c>
    </row>
    <row r="17" spans="1:9">
      <c r="A17" s="1">
        <v>43101</v>
      </c>
      <c r="B17">
        <v>7269</v>
      </c>
      <c r="C17">
        <v>7069</v>
      </c>
      <c r="D17">
        <v>34</v>
      </c>
      <c r="E17">
        <v>7069</v>
      </c>
      <c r="F17">
        <v>924645</v>
      </c>
      <c r="G17">
        <v>153242.46</v>
      </c>
      <c r="H17">
        <v>130.80000000000001</v>
      </c>
      <c r="I17">
        <v>27.36</v>
      </c>
    </row>
    <row r="18" spans="1:9">
      <c r="A18" s="1">
        <v>43132</v>
      </c>
      <c r="B18">
        <v>6728</v>
      </c>
      <c r="C18">
        <v>6555</v>
      </c>
      <c r="D18">
        <v>73</v>
      </c>
      <c r="E18">
        <v>6555</v>
      </c>
      <c r="F18">
        <v>826437.13</v>
      </c>
      <c r="G18">
        <v>139731.28</v>
      </c>
      <c r="H18">
        <v>126.08</v>
      </c>
      <c r="I18">
        <v>-10.62</v>
      </c>
    </row>
    <row r="19" spans="1:9">
      <c r="A19" s="1">
        <v>43160</v>
      </c>
      <c r="B19">
        <v>7211</v>
      </c>
      <c r="C19">
        <v>7003</v>
      </c>
      <c r="D19">
        <v>26</v>
      </c>
      <c r="E19">
        <v>7003</v>
      </c>
      <c r="F19">
        <v>953356.25</v>
      </c>
      <c r="G19">
        <v>167241.99</v>
      </c>
      <c r="H19">
        <v>136.13999999999999</v>
      </c>
      <c r="I19">
        <v>15.36</v>
      </c>
    </row>
    <row r="20" spans="1:9">
      <c r="A20" s="1">
        <v>43191</v>
      </c>
      <c r="B20">
        <v>6939</v>
      </c>
      <c r="C20">
        <v>6798</v>
      </c>
      <c r="D20">
        <v>15</v>
      </c>
      <c r="E20">
        <v>6798</v>
      </c>
      <c r="F20">
        <v>973534.09</v>
      </c>
      <c r="G20">
        <v>159344.84</v>
      </c>
      <c r="H20">
        <v>143.21</v>
      </c>
      <c r="I20">
        <v>2.12</v>
      </c>
    </row>
    <row r="21" spans="1:9">
      <c r="A21" s="1">
        <v>43221</v>
      </c>
      <c r="B21">
        <v>6873</v>
      </c>
      <c r="C21">
        <v>6749</v>
      </c>
      <c r="D21">
        <v>24</v>
      </c>
      <c r="E21">
        <v>6749</v>
      </c>
      <c r="F21">
        <v>977544.69</v>
      </c>
      <c r="G21">
        <v>151229.82999999999</v>
      </c>
      <c r="H21">
        <v>144.84</v>
      </c>
      <c r="I21">
        <v>0.41</v>
      </c>
    </row>
    <row r="22" spans="1:9">
      <c r="A22" s="1">
        <v>43252</v>
      </c>
      <c r="B22">
        <v>6167</v>
      </c>
      <c r="C22">
        <v>6099</v>
      </c>
      <c r="D22">
        <v>18</v>
      </c>
      <c r="E22">
        <v>6099</v>
      </c>
      <c r="F22">
        <v>856077.86</v>
      </c>
      <c r="G22">
        <v>155900.43</v>
      </c>
      <c r="H22">
        <v>140.36000000000001</v>
      </c>
      <c r="I22">
        <v>-12.43</v>
      </c>
    </row>
    <row r="23" spans="1:9">
      <c r="A23" s="1">
        <v>43282</v>
      </c>
      <c r="B23">
        <v>6292</v>
      </c>
      <c r="C23">
        <v>6159</v>
      </c>
      <c r="D23">
        <v>41</v>
      </c>
      <c r="E23">
        <v>6159</v>
      </c>
      <c r="F23">
        <v>867953.46</v>
      </c>
      <c r="G23">
        <v>159853.82</v>
      </c>
      <c r="H23">
        <v>140.91999999999999</v>
      </c>
      <c r="I23">
        <v>1.39</v>
      </c>
    </row>
    <row r="24" spans="1:9">
      <c r="A24" s="1">
        <v>43313</v>
      </c>
      <c r="B24">
        <v>6512</v>
      </c>
      <c r="C24">
        <v>6351</v>
      </c>
      <c r="D24">
        <v>84</v>
      </c>
      <c r="E24">
        <v>6351</v>
      </c>
      <c r="F24">
        <v>838576.64000000001</v>
      </c>
      <c r="G24">
        <v>146915</v>
      </c>
      <c r="H24">
        <v>132.04</v>
      </c>
      <c r="I24">
        <v>-3.38</v>
      </c>
    </row>
    <row r="25" spans="1:9">
      <c r="A25" s="1">
        <v>43344</v>
      </c>
      <c r="B25">
        <v>16</v>
      </c>
      <c r="D25">
        <v>15</v>
      </c>
      <c r="E25">
        <v>0</v>
      </c>
      <c r="F25" t="s">
        <v>9</v>
      </c>
      <c r="G25" t="s">
        <v>9</v>
      </c>
      <c r="H25" t="s">
        <v>9</v>
      </c>
      <c r="I25" t="s">
        <v>9</v>
      </c>
    </row>
    <row r="26" spans="1:9">
      <c r="A26" s="1">
        <v>43374</v>
      </c>
      <c r="B26">
        <v>4</v>
      </c>
      <c r="D26">
        <v>4</v>
      </c>
      <c r="E26">
        <v>0</v>
      </c>
      <c r="F26" t="s">
        <v>9</v>
      </c>
      <c r="G26" t="s">
        <v>9</v>
      </c>
      <c r="H26" t="s">
        <v>9</v>
      </c>
      <c r="I26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5162A-F40E-DD4A-A4CA-009484DBA2E1}">
  <dimension ref="A1:L21"/>
  <sheetViews>
    <sheetView tabSelected="1" workbookViewId="0">
      <selection sqref="A1:L21"/>
    </sheetView>
  </sheetViews>
  <sheetFormatPr baseColWidth="10" defaultRowHeight="16"/>
  <sheetData>
    <row r="1" spans="1:12">
      <c r="A1" s="4" t="s">
        <v>0</v>
      </c>
      <c r="B1" s="4" t="s">
        <v>1</v>
      </c>
      <c r="C1" s="4" t="s">
        <v>2</v>
      </c>
      <c r="D1" s="4" t="s">
        <v>11</v>
      </c>
      <c r="E1" s="4" t="s">
        <v>7</v>
      </c>
      <c r="F1" s="4" t="s">
        <v>52</v>
      </c>
      <c r="G1" s="4" t="s">
        <v>53</v>
      </c>
      <c r="H1" s="4" t="s">
        <v>54</v>
      </c>
      <c r="I1" s="4" t="s">
        <v>55</v>
      </c>
      <c r="J1" s="4" t="s">
        <v>56</v>
      </c>
      <c r="K1" s="4" t="s">
        <v>57</v>
      </c>
      <c r="L1" s="4" t="s">
        <v>58</v>
      </c>
    </row>
    <row r="2" spans="1:12">
      <c r="A2" s="5">
        <v>42736</v>
      </c>
      <c r="B2" s="4">
        <v>800</v>
      </c>
      <c r="C2" s="4">
        <v>750</v>
      </c>
      <c r="D2" s="4">
        <v>111798.36</v>
      </c>
      <c r="E2" s="4">
        <v>149.06</v>
      </c>
      <c r="F2" s="4">
        <v>15684.01</v>
      </c>
      <c r="G2" s="4">
        <v>14.03</v>
      </c>
      <c r="H2" s="4" t="s">
        <v>9</v>
      </c>
      <c r="I2" s="4" t="s">
        <v>9</v>
      </c>
      <c r="J2" s="4" t="s">
        <v>9</v>
      </c>
      <c r="K2" s="4" t="s">
        <v>9</v>
      </c>
      <c r="L2" s="4" t="s">
        <v>9</v>
      </c>
    </row>
    <row r="3" spans="1:12">
      <c r="A3" s="5">
        <v>42767</v>
      </c>
      <c r="B3" s="4">
        <v>1780</v>
      </c>
      <c r="C3" s="4">
        <v>1653</v>
      </c>
      <c r="D3" s="4">
        <v>234223.4</v>
      </c>
      <c r="E3" s="4">
        <v>141.69999999999999</v>
      </c>
      <c r="F3" s="4">
        <v>37015.919999999998</v>
      </c>
      <c r="G3" s="4">
        <v>15.8</v>
      </c>
      <c r="H3" s="4" t="s">
        <v>9</v>
      </c>
      <c r="I3" s="4" t="s">
        <v>9</v>
      </c>
      <c r="J3" s="4" t="s">
        <v>9</v>
      </c>
      <c r="K3" s="4" t="s">
        <v>9</v>
      </c>
      <c r="L3" s="4" t="s">
        <v>9</v>
      </c>
    </row>
    <row r="4" spans="1:12">
      <c r="A4" s="5">
        <v>42795</v>
      </c>
      <c r="B4" s="4">
        <v>2682</v>
      </c>
      <c r="C4" s="4">
        <v>2546</v>
      </c>
      <c r="D4" s="4">
        <v>359198.85</v>
      </c>
      <c r="E4" s="4">
        <v>141.08000000000001</v>
      </c>
      <c r="F4" s="4">
        <v>55132.1</v>
      </c>
      <c r="G4" s="4">
        <v>15.35</v>
      </c>
      <c r="H4" s="4" t="s">
        <v>9</v>
      </c>
      <c r="I4" s="4" t="s">
        <v>9</v>
      </c>
      <c r="J4" s="4" t="s">
        <v>9</v>
      </c>
      <c r="K4" s="4" t="s">
        <v>9</v>
      </c>
      <c r="L4" s="4" t="s">
        <v>9</v>
      </c>
    </row>
    <row r="5" spans="1:12">
      <c r="A5" s="5">
        <v>42826</v>
      </c>
      <c r="B5" s="4">
        <v>2404</v>
      </c>
      <c r="C5" s="4">
        <v>2303</v>
      </c>
      <c r="D5" s="4">
        <v>340669.68</v>
      </c>
      <c r="E5" s="4">
        <v>147.91999999999999</v>
      </c>
      <c r="F5" s="4">
        <v>50142.720000000001</v>
      </c>
      <c r="G5" s="4">
        <v>14.72</v>
      </c>
      <c r="H5" s="4" t="s">
        <v>9</v>
      </c>
      <c r="I5" s="4" t="s">
        <v>9</v>
      </c>
      <c r="J5" s="4" t="s">
        <v>9</v>
      </c>
      <c r="K5" s="4" t="s">
        <v>9</v>
      </c>
      <c r="L5" s="4" t="s">
        <v>9</v>
      </c>
    </row>
    <row r="6" spans="1:12">
      <c r="A6" s="5">
        <v>42856</v>
      </c>
      <c r="B6" s="4">
        <v>3700</v>
      </c>
      <c r="C6" s="4">
        <v>3546</v>
      </c>
      <c r="D6" s="4">
        <v>489338.25</v>
      </c>
      <c r="E6" s="4">
        <v>138</v>
      </c>
      <c r="F6" s="4">
        <v>77513.149999999994</v>
      </c>
      <c r="G6" s="4">
        <v>15.84</v>
      </c>
      <c r="H6" s="4" t="s">
        <v>9</v>
      </c>
      <c r="I6" s="4" t="s">
        <v>9</v>
      </c>
      <c r="J6" s="4" t="s">
        <v>9</v>
      </c>
      <c r="K6" s="4" t="s">
        <v>9</v>
      </c>
      <c r="L6" s="4" t="s">
        <v>9</v>
      </c>
    </row>
    <row r="7" spans="1:12">
      <c r="A7" s="5">
        <v>42887</v>
      </c>
      <c r="B7" s="4">
        <v>3245</v>
      </c>
      <c r="C7" s="4">
        <v>3135</v>
      </c>
      <c r="D7" s="4">
        <v>421923.37</v>
      </c>
      <c r="E7" s="4">
        <v>134.58000000000001</v>
      </c>
      <c r="F7" s="4">
        <v>68127</v>
      </c>
      <c r="G7" s="4">
        <v>16.149999999999999</v>
      </c>
      <c r="H7" s="4" t="s">
        <v>9</v>
      </c>
      <c r="I7" s="4" t="s">
        <v>9</v>
      </c>
      <c r="J7" s="4" t="s">
        <v>9</v>
      </c>
      <c r="K7" s="4" t="s">
        <v>9</v>
      </c>
      <c r="L7" s="4" t="s">
        <v>9</v>
      </c>
    </row>
    <row r="8" spans="1:12">
      <c r="A8" s="5">
        <v>42917</v>
      </c>
      <c r="B8" s="4">
        <v>4026</v>
      </c>
      <c r="C8" s="4">
        <v>3872</v>
      </c>
      <c r="D8" s="4">
        <v>481604.52</v>
      </c>
      <c r="E8" s="4">
        <v>124.38</v>
      </c>
      <c r="F8" s="4">
        <v>84694.56</v>
      </c>
      <c r="G8" s="4">
        <v>17.59</v>
      </c>
      <c r="H8" s="4" t="s">
        <v>9</v>
      </c>
      <c r="I8" s="4" t="s">
        <v>9</v>
      </c>
      <c r="J8" s="4" t="s">
        <v>9</v>
      </c>
      <c r="K8" s="4" t="s">
        <v>9</v>
      </c>
      <c r="L8" s="4" t="s">
        <v>9</v>
      </c>
    </row>
    <row r="9" spans="1:12">
      <c r="A9" s="5">
        <v>42948</v>
      </c>
      <c r="B9" s="4">
        <v>4331</v>
      </c>
      <c r="C9" s="4">
        <v>4193</v>
      </c>
      <c r="D9" s="4">
        <v>554699.69999999995</v>
      </c>
      <c r="E9" s="4">
        <v>132.29</v>
      </c>
      <c r="F9" s="4">
        <v>91132.66</v>
      </c>
      <c r="G9" s="4">
        <v>16.43</v>
      </c>
      <c r="H9" s="4" t="s">
        <v>9</v>
      </c>
      <c r="I9" s="4" t="s">
        <v>9</v>
      </c>
      <c r="J9" s="4" t="s">
        <v>9</v>
      </c>
      <c r="K9" s="4" t="s">
        <v>9</v>
      </c>
      <c r="L9" s="4" t="s">
        <v>9</v>
      </c>
    </row>
    <row r="10" spans="1:12">
      <c r="A10" s="5">
        <v>42979</v>
      </c>
      <c r="B10" s="4">
        <v>4285</v>
      </c>
      <c r="C10" s="4">
        <v>4150</v>
      </c>
      <c r="D10" s="4">
        <v>607399.67000000004</v>
      </c>
      <c r="E10" s="4">
        <v>146.36000000000001</v>
      </c>
      <c r="F10" s="4">
        <v>93677.82</v>
      </c>
      <c r="G10" s="4">
        <v>15.42</v>
      </c>
      <c r="H10" s="4" t="s">
        <v>9</v>
      </c>
      <c r="I10" s="4" t="s">
        <v>9</v>
      </c>
      <c r="J10" s="4" t="s">
        <v>9</v>
      </c>
      <c r="K10" s="4" t="s">
        <v>9</v>
      </c>
      <c r="L10" s="4" t="s">
        <v>9</v>
      </c>
    </row>
    <row r="11" spans="1:12">
      <c r="A11" s="5">
        <v>43009</v>
      </c>
      <c r="B11" s="4">
        <v>4631</v>
      </c>
      <c r="C11" s="4">
        <v>4478</v>
      </c>
      <c r="D11" s="4">
        <v>648247.65</v>
      </c>
      <c r="E11" s="4">
        <v>144.76</v>
      </c>
      <c r="F11" s="4">
        <v>102869.36</v>
      </c>
      <c r="G11" s="4">
        <v>15.87</v>
      </c>
      <c r="H11" s="4" t="s">
        <v>9</v>
      </c>
      <c r="I11" s="4" t="s">
        <v>9</v>
      </c>
      <c r="J11" s="4" t="s">
        <v>9</v>
      </c>
      <c r="K11" s="4" t="s">
        <v>9</v>
      </c>
      <c r="L11" s="4" t="s">
        <v>9</v>
      </c>
    </row>
    <row r="12" spans="1:12">
      <c r="A12" s="5">
        <v>43040</v>
      </c>
      <c r="B12" s="4">
        <v>7544</v>
      </c>
      <c r="C12" s="4">
        <v>7289</v>
      </c>
      <c r="D12" s="4">
        <v>987765.37</v>
      </c>
      <c r="E12" s="4">
        <v>135.51</v>
      </c>
      <c r="F12" s="4">
        <v>165598.82999999999</v>
      </c>
      <c r="G12" s="4">
        <v>16.760000000000002</v>
      </c>
      <c r="H12" s="4" t="s">
        <v>9</v>
      </c>
      <c r="I12" s="4" t="s">
        <v>9</v>
      </c>
      <c r="J12" s="4" t="s">
        <v>9</v>
      </c>
      <c r="K12" s="4" t="s">
        <v>9</v>
      </c>
      <c r="L12" s="4" t="s">
        <v>9</v>
      </c>
    </row>
    <row r="13" spans="1:12">
      <c r="A13" s="5">
        <v>43070</v>
      </c>
      <c r="B13" s="4">
        <v>5673</v>
      </c>
      <c r="C13" s="4">
        <v>5513</v>
      </c>
      <c r="D13" s="4">
        <v>726033.19</v>
      </c>
      <c r="E13" s="4">
        <v>131.69</v>
      </c>
      <c r="F13" s="4">
        <v>117045.1</v>
      </c>
      <c r="G13" s="4">
        <v>16.12</v>
      </c>
      <c r="H13" s="4" t="s">
        <v>9</v>
      </c>
      <c r="I13" s="4" t="s">
        <v>9</v>
      </c>
      <c r="J13" s="4" t="s">
        <v>9</v>
      </c>
      <c r="K13" s="4" t="s">
        <v>9</v>
      </c>
      <c r="L13" s="4" t="s">
        <v>9</v>
      </c>
    </row>
    <row r="14" spans="1:12">
      <c r="A14" s="5">
        <v>43101</v>
      </c>
      <c r="B14" s="4">
        <v>7269</v>
      </c>
      <c r="C14" s="4">
        <v>7069</v>
      </c>
      <c r="D14" s="4">
        <v>924645</v>
      </c>
      <c r="E14" s="4">
        <v>130.80000000000001</v>
      </c>
      <c r="F14" s="4">
        <v>153242.46</v>
      </c>
      <c r="G14" s="4">
        <v>16.57</v>
      </c>
      <c r="H14" s="4">
        <v>111798.36</v>
      </c>
      <c r="I14" s="4">
        <v>750</v>
      </c>
      <c r="J14" s="4">
        <v>727.06</v>
      </c>
      <c r="K14" s="4">
        <v>842.53</v>
      </c>
      <c r="L14" s="4">
        <v>-12.25</v>
      </c>
    </row>
    <row r="15" spans="1:12">
      <c r="A15" s="5">
        <v>43132</v>
      </c>
      <c r="B15" s="4">
        <v>6728</v>
      </c>
      <c r="C15" s="4">
        <v>6555</v>
      </c>
      <c r="D15" s="4">
        <v>826437.13</v>
      </c>
      <c r="E15" s="4">
        <v>126.08</v>
      </c>
      <c r="F15" s="4">
        <v>139731.28</v>
      </c>
      <c r="G15" s="4">
        <v>16.91</v>
      </c>
      <c r="H15" s="4">
        <v>234223.4</v>
      </c>
      <c r="I15" s="4">
        <v>1653</v>
      </c>
      <c r="J15" s="4">
        <v>252.84</v>
      </c>
      <c r="K15" s="4">
        <v>296.55</v>
      </c>
      <c r="L15" s="4">
        <v>-11.02</v>
      </c>
    </row>
    <row r="16" spans="1:12">
      <c r="A16" s="5">
        <v>43160</v>
      </c>
      <c r="B16" s="4">
        <v>7211</v>
      </c>
      <c r="C16" s="4">
        <v>7003</v>
      </c>
      <c r="D16" s="4">
        <v>953356.25</v>
      </c>
      <c r="E16" s="4">
        <v>136.13999999999999</v>
      </c>
      <c r="F16" s="4">
        <v>167241.99</v>
      </c>
      <c r="G16" s="4">
        <v>17.54</v>
      </c>
      <c r="H16" s="4">
        <v>359198.85</v>
      </c>
      <c r="I16" s="4">
        <v>2546</v>
      </c>
      <c r="J16" s="4">
        <v>165.41</v>
      </c>
      <c r="K16" s="4">
        <v>175.06</v>
      </c>
      <c r="L16" s="4">
        <v>-3.51</v>
      </c>
    </row>
    <row r="17" spans="1:12">
      <c r="A17" s="5">
        <v>43191</v>
      </c>
      <c r="B17" s="4">
        <v>6939</v>
      </c>
      <c r="C17" s="4">
        <v>6798</v>
      </c>
      <c r="D17" s="4">
        <v>973534.09</v>
      </c>
      <c r="E17" s="4">
        <v>143.21</v>
      </c>
      <c r="F17" s="4">
        <v>159344.84</v>
      </c>
      <c r="G17" s="4">
        <v>16.37</v>
      </c>
      <c r="H17" s="4">
        <v>340669.68</v>
      </c>
      <c r="I17" s="4">
        <v>2303</v>
      </c>
      <c r="J17" s="4">
        <v>185.77</v>
      </c>
      <c r="K17" s="4">
        <v>195.18</v>
      </c>
      <c r="L17" s="4">
        <v>-3.19</v>
      </c>
    </row>
    <row r="18" spans="1:12">
      <c r="A18" s="5">
        <v>43221</v>
      </c>
      <c r="B18" s="4">
        <v>6873</v>
      </c>
      <c r="C18" s="4">
        <v>6749</v>
      </c>
      <c r="D18" s="4">
        <v>977544.69</v>
      </c>
      <c r="E18" s="4">
        <v>144.84</v>
      </c>
      <c r="F18" s="4">
        <v>151229.82999999999</v>
      </c>
      <c r="G18" s="4">
        <v>15.47</v>
      </c>
      <c r="H18" s="4">
        <v>489338.25</v>
      </c>
      <c r="I18" s="4">
        <v>3546</v>
      </c>
      <c r="J18" s="4">
        <v>99.77</v>
      </c>
      <c r="K18" s="4">
        <v>90.33</v>
      </c>
      <c r="L18" s="4">
        <v>4.96</v>
      </c>
    </row>
    <row r="19" spans="1:12">
      <c r="A19" s="5">
        <v>43252</v>
      </c>
      <c r="B19" s="4">
        <v>6167</v>
      </c>
      <c r="C19" s="4">
        <v>6099</v>
      </c>
      <c r="D19" s="4">
        <v>856077.86</v>
      </c>
      <c r="E19" s="4">
        <v>140.36000000000001</v>
      </c>
      <c r="F19" s="4">
        <v>155900.43</v>
      </c>
      <c r="G19" s="4">
        <v>18.21</v>
      </c>
      <c r="H19" s="4">
        <v>421923.37</v>
      </c>
      <c r="I19" s="4">
        <v>3135</v>
      </c>
      <c r="J19" s="4">
        <v>102.9</v>
      </c>
      <c r="K19" s="4">
        <v>94.55</v>
      </c>
      <c r="L19" s="4">
        <v>4.29</v>
      </c>
    </row>
    <row r="20" spans="1:12">
      <c r="A20" s="5">
        <v>43282</v>
      </c>
      <c r="B20" s="4">
        <v>6292</v>
      </c>
      <c r="C20" s="4">
        <v>6159</v>
      </c>
      <c r="D20" s="4">
        <v>867953.46</v>
      </c>
      <c r="E20" s="4">
        <v>140.91999999999999</v>
      </c>
      <c r="F20" s="4">
        <v>159853.82</v>
      </c>
      <c r="G20" s="4">
        <v>18.420000000000002</v>
      </c>
      <c r="H20" s="4">
        <v>481604.52</v>
      </c>
      <c r="I20" s="4">
        <v>3872</v>
      </c>
      <c r="J20" s="4">
        <v>80.22</v>
      </c>
      <c r="K20" s="4">
        <v>59.07</v>
      </c>
      <c r="L20" s="4">
        <v>13.3</v>
      </c>
    </row>
    <row r="21" spans="1:12">
      <c r="A21" s="5">
        <v>43313</v>
      </c>
      <c r="B21" s="4">
        <v>6512</v>
      </c>
      <c r="C21" s="4">
        <v>6351</v>
      </c>
      <c r="D21" s="4">
        <v>838576.64000000001</v>
      </c>
      <c r="E21" s="4">
        <v>132.04</v>
      </c>
      <c r="F21" s="4">
        <v>146915</v>
      </c>
      <c r="G21" s="4">
        <v>17.52</v>
      </c>
      <c r="H21" s="4">
        <v>554699.69999999995</v>
      </c>
      <c r="I21" s="4">
        <v>4193</v>
      </c>
      <c r="J21" s="4">
        <v>51.18</v>
      </c>
      <c r="K21" s="4">
        <v>51.47</v>
      </c>
      <c r="L21" s="4">
        <v>-0.19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sqref="A1:D11"/>
    </sheetView>
  </sheetViews>
  <sheetFormatPr baseColWidth="10" defaultRowHeight="16"/>
  <sheetData>
    <row r="1" spans="1:3">
      <c r="A1" t="s">
        <v>28</v>
      </c>
      <c r="B1" t="s">
        <v>39</v>
      </c>
      <c r="C1" t="s">
        <v>40</v>
      </c>
    </row>
    <row r="2" spans="1:3">
      <c r="A2" t="s">
        <v>41</v>
      </c>
      <c r="B2">
        <v>21.41</v>
      </c>
      <c r="C2">
        <v>397</v>
      </c>
    </row>
    <row r="3" spans="1:3">
      <c r="A3" t="s">
        <v>42</v>
      </c>
      <c r="B3">
        <v>17.43</v>
      </c>
      <c r="C3">
        <v>717</v>
      </c>
    </row>
    <row r="4" spans="1:3">
      <c r="A4" t="s">
        <v>43</v>
      </c>
      <c r="B4">
        <v>15.22</v>
      </c>
      <c r="C4">
        <v>335</v>
      </c>
    </row>
    <row r="5" spans="1:3">
      <c r="A5" t="s">
        <v>44</v>
      </c>
      <c r="B5">
        <v>13.87</v>
      </c>
      <c r="C5">
        <v>476</v>
      </c>
    </row>
    <row r="6" spans="1:3">
      <c r="A6" t="s">
        <v>45</v>
      </c>
      <c r="B6">
        <v>13.76</v>
      </c>
      <c r="C6">
        <v>1279</v>
      </c>
    </row>
    <row r="7" spans="1:3">
      <c r="A7" t="s">
        <v>35</v>
      </c>
      <c r="B7">
        <v>12.16</v>
      </c>
      <c r="C7">
        <v>3256</v>
      </c>
    </row>
    <row r="8" spans="1:3">
      <c r="A8" t="s">
        <v>30</v>
      </c>
      <c r="B8">
        <v>12.11</v>
      </c>
      <c r="C8">
        <v>12350</v>
      </c>
    </row>
    <row r="9" spans="1:3">
      <c r="A9" t="s">
        <v>46</v>
      </c>
      <c r="B9">
        <v>11.21</v>
      </c>
      <c r="C9">
        <v>946</v>
      </c>
    </row>
    <row r="10" spans="1:3">
      <c r="A10" t="s">
        <v>38</v>
      </c>
      <c r="B10">
        <v>10.73</v>
      </c>
      <c r="C10">
        <v>1995</v>
      </c>
    </row>
    <row r="11" spans="1:3">
      <c r="A11" t="s">
        <v>47</v>
      </c>
      <c r="B11">
        <v>10.44</v>
      </c>
      <c r="C11">
        <v>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I7" sqref="I7"/>
    </sheetView>
  </sheetViews>
  <sheetFormatPr baseColWidth="10" defaultRowHeight="16"/>
  <cols>
    <col min="1" max="1" width="26.83203125" customWidth="1"/>
    <col min="2" max="2" width="19.83203125" customWidth="1"/>
  </cols>
  <sheetData>
    <row r="1" spans="1:2">
      <c r="A1" t="s">
        <v>10</v>
      </c>
      <c r="B1" t="s">
        <v>11</v>
      </c>
    </row>
    <row r="2" spans="1:2">
      <c r="A2" t="s">
        <v>12</v>
      </c>
      <c r="B2">
        <v>1233131.72</v>
      </c>
    </row>
    <row r="3" spans="1:2">
      <c r="A3" t="s">
        <v>13</v>
      </c>
      <c r="B3">
        <v>1166176.98</v>
      </c>
    </row>
    <row r="4" spans="1:2">
      <c r="A4" t="s">
        <v>14</v>
      </c>
      <c r="B4">
        <v>1023434.76</v>
      </c>
    </row>
    <row r="5" spans="1:2">
      <c r="A5" t="s">
        <v>15</v>
      </c>
      <c r="B5">
        <v>954852.55</v>
      </c>
    </row>
    <row r="6" spans="1:2">
      <c r="A6" t="s">
        <v>16</v>
      </c>
      <c r="B6">
        <v>888724.61</v>
      </c>
    </row>
    <row r="7" spans="1:2">
      <c r="A7" t="s">
        <v>17</v>
      </c>
      <c r="B7">
        <v>711927.69</v>
      </c>
    </row>
    <row r="8" spans="1:2">
      <c r="A8" t="s">
        <v>18</v>
      </c>
      <c r="B8">
        <v>615628.68999999994</v>
      </c>
    </row>
    <row r="9" spans="1:2">
      <c r="A9" t="s">
        <v>19</v>
      </c>
      <c r="B9">
        <v>610204.1</v>
      </c>
    </row>
    <row r="10" spans="1:2">
      <c r="A10" t="s">
        <v>20</v>
      </c>
      <c r="B10">
        <v>578966.65</v>
      </c>
    </row>
    <row r="11" spans="1:2">
      <c r="A11" t="s">
        <v>21</v>
      </c>
      <c r="B11">
        <v>471286.48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sqref="A1:C3"/>
    </sheetView>
  </sheetViews>
  <sheetFormatPr baseColWidth="10" defaultRowHeight="16"/>
  <sheetData>
    <row r="1" spans="1:2">
      <c r="A1" t="s">
        <v>48</v>
      </c>
      <c r="B1" t="s">
        <v>49</v>
      </c>
    </row>
    <row r="2" spans="1:2">
      <c r="A2" t="s">
        <v>50</v>
      </c>
      <c r="B2">
        <v>90557</v>
      </c>
    </row>
    <row r="3" spans="1:2">
      <c r="A3" t="s">
        <v>51</v>
      </c>
      <c r="B3">
        <v>2801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selection activeCell="B6" sqref="B6"/>
    </sheetView>
  </sheetViews>
  <sheetFormatPr baseColWidth="10" defaultRowHeight="16"/>
  <sheetData>
    <row r="1" spans="1:2">
      <c r="A1" t="s">
        <v>22</v>
      </c>
      <c r="B1" t="s">
        <v>23</v>
      </c>
    </row>
    <row r="2" spans="1:2">
      <c r="A2" t="s">
        <v>24</v>
      </c>
      <c r="B2">
        <v>12101094.880000001</v>
      </c>
    </row>
    <row r="3" spans="1:2">
      <c r="A3" t="s">
        <v>25</v>
      </c>
      <c r="B3">
        <v>2769932.58</v>
      </c>
    </row>
    <row r="4" spans="1:2">
      <c r="A4" t="s">
        <v>26</v>
      </c>
      <c r="B4">
        <v>343013.19</v>
      </c>
    </row>
    <row r="5" spans="1:2">
      <c r="A5" t="s">
        <v>27</v>
      </c>
      <c r="B5">
        <v>208421.12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>
      <selection activeCell="B1" activeCellId="1" sqref="A1:A11 B1:B11"/>
    </sheetView>
  </sheetViews>
  <sheetFormatPr baseColWidth="10" defaultRowHeight="16"/>
  <sheetData>
    <row r="1" spans="1:2">
      <c r="A1" t="s">
        <v>28</v>
      </c>
      <c r="B1" t="s">
        <v>5</v>
      </c>
    </row>
    <row r="2" spans="1:2">
      <c r="A2" t="s">
        <v>29</v>
      </c>
      <c r="B2">
        <v>5067633.16</v>
      </c>
    </row>
    <row r="3" spans="1:2">
      <c r="A3" t="s">
        <v>30</v>
      </c>
      <c r="B3">
        <v>1759651.13</v>
      </c>
    </row>
    <row r="4" spans="1:2">
      <c r="A4" t="s">
        <v>31</v>
      </c>
      <c r="B4">
        <v>1552481.83</v>
      </c>
    </row>
    <row r="5" spans="1:2">
      <c r="A5" t="s">
        <v>32</v>
      </c>
      <c r="B5">
        <v>728897.47</v>
      </c>
    </row>
    <row r="6" spans="1:2">
      <c r="A6" t="s">
        <v>33</v>
      </c>
      <c r="B6">
        <v>666063.51</v>
      </c>
    </row>
    <row r="7" spans="1:2">
      <c r="A7" t="s">
        <v>34</v>
      </c>
      <c r="B7">
        <v>507012.13</v>
      </c>
    </row>
    <row r="8" spans="1:2">
      <c r="A8" t="s">
        <v>35</v>
      </c>
      <c r="B8">
        <v>493584.14</v>
      </c>
    </row>
    <row r="9" spans="1:2">
      <c r="A9" t="s">
        <v>36</v>
      </c>
      <c r="B9">
        <v>296498.40999999997</v>
      </c>
    </row>
    <row r="10" spans="1:2">
      <c r="A10" t="s">
        <v>37</v>
      </c>
      <c r="B10">
        <v>282836.7</v>
      </c>
    </row>
    <row r="11" spans="1:2">
      <c r="A11" t="s">
        <v>38</v>
      </c>
      <c r="B11">
        <v>268643.45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E3086-4882-2D46-BDF1-6E72CBA18539}">
  <dimension ref="A1:D18"/>
  <sheetViews>
    <sheetView workbookViewId="0">
      <selection sqref="A1:D18"/>
    </sheetView>
  </sheetViews>
  <sheetFormatPr baseColWidth="10" defaultRowHeight="16"/>
  <sheetData>
    <row r="1" spans="1:4">
      <c r="A1" t="s">
        <v>59</v>
      </c>
      <c r="B1" t="s">
        <v>60</v>
      </c>
      <c r="C1" t="s">
        <v>61</v>
      </c>
      <c r="D1" t="s">
        <v>62</v>
      </c>
    </row>
    <row r="2" spans="1:4">
      <c r="A2" s="3">
        <v>42736</v>
      </c>
      <c r="B2">
        <v>717</v>
      </c>
      <c r="C2">
        <v>26</v>
      </c>
      <c r="D2">
        <v>3.63</v>
      </c>
    </row>
    <row r="3" spans="1:4">
      <c r="A3" s="3">
        <v>42767</v>
      </c>
      <c r="B3">
        <v>1628</v>
      </c>
      <c r="C3">
        <v>28</v>
      </c>
      <c r="D3">
        <v>1.72</v>
      </c>
    </row>
    <row r="4" spans="1:4">
      <c r="A4" s="3">
        <v>42795</v>
      </c>
      <c r="B4">
        <v>2503</v>
      </c>
      <c r="C4">
        <v>62</v>
      </c>
      <c r="D4">
        <v>2.48</v>
      </c>
    </row>
    <row r="5" spans="1:4">
      <c r="A5" s="3">
        <v>42826</v>
      </c>
      <c r="B5">
        <v>2256</v>
      </c>
      <c r="C5">
        <v>48</v>
      </c>
      <c r="D5">
        <v>2.13</v>
      </c>
    </row>
    <row r="6" spans="1:4">
      <c r="A6" s="3">
        <v>42856</v>
      </c>
      <c r="B6">
        <v>3451</v>
      </c>
      <c r="C6">
        <v>98</v>
      </c>
      <c r="D6">
        <v>2.84</v>
      </c>
    </row>
    <row r="7" spans="1:4">
      <c r="A7" s="3">
        <v>42887</v>
      </c>
      <c r="B7">
        <v>3037</v>
      </c>
      <c r="C7">
        <v>86</v>
      </c>
      <c r="D7">
        <v>2.83</v>
      </c>
    </row>
    <row r="8" spans="1:4">
      <c r="A8" s="3">
        <v>42917</v>
      </c>
      <c r="B8">
        <v>3752</v>
      </c>
      <c r="C8">
        <v>97</v>
      </c>
      <c r="D8">
        <v>2.59</v>
      </c>
    </row>
    <row r="9" spans="1:4">
      <c r="A9" s="3">
        <v>42948</v>
      </c>
      <c r="B9">
        <v>4057</v>
      </c>
      <c r="C9">
        <v>112</v>
      </c>
      <c r="D9">
        <v>2.76</v>
      </c>
    </row>
    <row r="10" spans="1:4">
      <c r="A10" s="3">
        <v>42979</v>
      </c>
      <c r="B10">
        <v>4004</v>
      </c>
      <c r="C10">
        <v>114</v>
      </c>
      <c r="D10">
        <v>2.85</v>
      </c>
    </row>
    <row r="11" spans="1:4">
      <c r="A11" s="3">
        <v>43009</v>
      </c>
      <c r="B11">
        <v>4328</v>
      </c>
      <c r="C11">
        <v>97</v>
      </c>
      <c r="D11">
        <v>2.2400000000000002</v>
      </c>
    </row>
    <row r="12" spans="1:4">
      <c r="A12" s="3">
        <v>43040</v>
      </c>
      <c r="B12">
        <v>7060</v>
      </c>
      <c r="C12">
        <v>164</v>
      </c>
      <c r="D12">
        <v>2.3199999999999998</v>
      </c>
    </row>
    <row r="13" spans="1:4">
      <c r="A13" s="3">
        <v>43070</v>
      </c>
      <c r="B13">
        <v>5338</v>
      </c>
      <c r="C13">
        <v>92</v>
      </c>
      <c r="D13">
        <v>1.72</v>
      </c>
    </row>
    <row r="14" spans="1:4">
      <c r="A14" s="3">
        <v>43101</v>
      </c>
      <c r="B14">
        <v>6842</v>
      </c>
      <c r="C14">
        <v>149</v>
      </c>
      <c r="D14">
        <v>2.1800000000000002</v>
      </c>
    </row>
    <row r="15" spans="1:4">
      <c r="A15" s="3">
        <v>43132</v>
      </c>
      <c r="B15">
        <v>6288</v>
      </c>
      <c r="C15">
        <v>188</v>
      </c>
      <c r="D15">
        <v>2.99</v>
      </c>
    </row>
    <row r="16" spans="1:4">
      <c r="A16" s="3">
        <v>43160</v>
      </c>
      <c r="B16">
        <v>6774</v>
      </c>
      <c r="C16">
        <v>134</v>
      </c>
      <c r="D16">
        <v>1.98</v>
      </c>
    </row>
    <row r="17" spans="1:4">
      <c r="A17" s="3">
        <v>43191</v>
      </c>
      <c r="B17">
        <v>6582</v>
      </c>
      <c r="C17">
        <v>111</v>
      </c>
      <c r="D17">
        <v>1.69</v>
      </c>
    </row>
    <row r="18" spans="1:4">
      <c r="A18" s="3">
        <v>43221</v>
      </c>
      <c r="B18">
        <v>6506</v>
      </c>
      <c r="C18">
        <v>105</v>
      </c>
      <c r="D18">
        <v>1.61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EC1A-103F-F049-AB7A-F3DC3974CD39}">
  <dimension ref="A1:K28"/>
  <sheetViews>
    <sheetView workbookViewId="0">
      <selection sqref="A1:L28"/>
    </sheetView>
  </sheetViews>
  <sheetFormatPr baseColWidth="10" defaultRowHeight="16"/>
  <sheetData>
    <row r="1" spans="1:11">
      <c r="A1" t="s">
        <v>28</v>
      </c>
      <c r="B1" t="s">
        <v>2</v>
      </c>
      <c r="C1" t="s">
        <v>40</v>
      </c>
      <c r="D1" t="s">
        <v>63</v>
      </c>
      <c r="E1" t="s">
        <v>39</v>
      </c>
      <c r="F1" t="s">
        <v>64</v>
      </c>
      <c r="G1" t="s">
        <v>65</v>
      </c>
      <c r="H1" t="s">
        <v>11</v>
      </c>
      <c r="I1" t="s">
        <v>66</v>
      </c>
      <c r="J1" t="s">
        <v>67</v>
      </c>
      <c r="K1" t="s">
        <v>68</v>
      </c>
    </row>
    <row r="2" spans="1:11">
      <c r="A2" t="s">
        <v>29</v>
      </c>
      <c r="B2">
        <v>40501</v>
      </c>
      <c r="C2">
        <v>40494</v>
      </c>
      <c r="D2">
        <v>1820</v>
      </c>
      <c r="E2">
        <v>4.49</v>
      </c>
      <c r="F2">
        <v>27.85</v>
      </c>
      <c r="G2">
        <v>8.3000000000000007</v>
      </c>
      <c r="H2">
        <v>5067633.16</v>
      </c>
      <c r="I2">
        <v>13.85</v>
      </c>
      <c r="J2">
        <v>1</v>
      </c>
      <c r="K2" t="s">
        <v>69</v>
      </c>
    </row>
    <row r="3" spans="1:11">
      <c r="A3" t="s">
        <v>30</v>
      </c>
      <c r="B3">
        <v>12350</v>
      </c>
      <c r="C3">
        <v>12350</v>
      </c>
      <c r="D3">
        <v>1495</v>
      </c>
      <c r="E3">
        <v>12.11</v>
      </c>
      <c r="F3">
        <v>22.88</v>
      </c>
      <c r="G3">
        <v>14.85</v>
      </c>
      <c r="H3">
        <v>1759651.13</v>
      </c>
      <c r="I3">
        <v>16.809999999999999</v>
      </c>
      <c r="J3">
        <v>2</v>
      </c>
      <c r="K3" t="s">
        <v>69</v>
      </c>
    </row>
    <row r="4" spans="1:11">
      <c r="A4" t="s">
        <v>31</v>
      </c>
      <c r="B4">
        <v>11354</v>
      </c>
      <c r="C4">
        <v>11354</v>
      </c>
      <c r="D4">
        <v>519</v>
      </c>
      <c r="E4">
        <v>4.57</v>
      </c>
      <c r="F4">
        <v>7.94</v>
      </c>
      <c r="G4">
        <v>11.54</v>
      </c>
      <c r="H4">
        <v>1552481.83</v>
      </c>
      <c r="I4">
        <v>17.16</v>
      </c>
      <c r="J4">
        <v>3</v>
      </c>
      <c r="K4" t="s">
        <v>69</v>
      </c>
    </row>
    <row r="5" spans="1:11">
      <c r="A5" t="s">
        <v>35</v>
      </c>
      <c r="B5">
        <v>3256</v>
      </c>
      <c r="C5">
        <v>3256</v>
      </c>
      <c r="D5">
        <v>396</v>
      </c>
      <c r="E5">
        <v>12.16</v>
      </c>
      <c r="F5">
        <v>6.06</v>
      </c>
      <c r="G5">
        <v>18.87</v>
      </c>
      <c r="H5">
        <v>493584.14</v>
      </c>
      <c r="I5">
        <v>19.760000000000002</v>
      </c>
      <c r="J5">
        <v>4</v>
      </c>
      <c r="K5" t="s">
        <v>69</v>
      </c>
    </row>
    <row r="6" spans="1:11">
      <c r="A6" t="s">
        <v>32</v>
      </c>
      <c r="B6">
        <v>5345</v>
      </c>
      <c r="C6">
        <v>5344</v>
      </c>
      <c r="D6">
        <v>325</v>
      </c>
      <c r="E6">
        <v>6.08</v>
      </c>
      <c r="F6">
        <v>4.97</v>
      </c>
      <c r="G6">
        <v>14.82</v>
      </c>
      <c r="H6">
        <v>728897.47</v>
      </c>
      <c r="I6">
        <v>18.190000000000001</v>
      </c>
      <c r="J6">
        <v>5</v>
      </c>
      <c r="K6" t="s">
        <v>69</v>
      </c>
    </row>
    <row r="7" spans="1:11">
      <c r="A7" t="s">
        <v>34</v>
      </c>
      <c r="B7">
        <v>3546</v>
      </c>
      <c r="C7">
        <v>3546</v>
      </c>
      <c r="D7">
        <v>291</v>
      </c>
      <c r="E7">
        <v>8.2100000000000009</v>
      </c>
      <c r="F7">
        <v>4.45</v>
      </c>
      <c r="G7">
        <v>14.48</v>
      </c>
      <c r="H7">
        <v>507012.13</v>
      </c>
      <c r="I7">
        <v>17.38</v>
      </c>
      <c r="J7">
        <v>6</v>
      </c>
      <c r="K7" t="s">
        <v>69</v>
      </c>
    </row>
    <row r="8" spans="1:11">
      <c r="A8" t="s">
        <v>38</v>
      </c>
      <c r="B8">
        <v>1995</v>
      </c>
      <c r="C8">
        <v>1995</v>
      </c>
      <c r="D8">
        <v>214</v>
      </c>
      <c r="E8">
        <v>10.73</v>
      </c>
      <c r="F8">
        <v>3.28</v>
      </c>
      <c r="G8">
        <v>15.33</v>
      </c>
      <c r="H8">
        <v>268643.45</v>
      </c>
      <c r="I8">
        <v>18.25</v>
      </c>
      <c r="J8">
        <v>7</v>
      </c>
      <c r="K8" t="s">
        <v>69</v>
      </c>
    </row>
    <row r="9" spans="1:11">
      <c r="A9" t="s">
        <v>33</v>
      </c>
      <c r="B9">
        <v>4923</v>
      </c>
      <c r="C9">
        <v>4923</v>
      </c>
      <c r="D9">
        <v>199</v>
      </c>
      <c r="E9">
        <v>4.04</v>
      </c>
      <c r="F9">
        <v>3.05</v>
      </c>
      <c r="G9">
        <v>11.53</v>
      </c>
      <c r="H9">
        <v>666063.51</v>
      </c>
      <c r="I9">
        <v>17.36</v>
      </c>
      <c r="J9">
        <v>8</v>
      </c>
      <c r="K9" t="s">
        <v>69</v>
      </c>
    </row>
    <row r="10" spans="1:11">
      <c r="A10" t="s">
        <v>45</v>
      </c>
      <c r="B10">
        <v>1279</v>
      </c>
      <c r="C10">
        <v>1279</v>
      </c>
      <c r="D10">
        <v>176</v>
      </c>
      <c r="E10">
        <v>13.76</v>
      </c>
      <c r="F10">
        <v>2.69</v>
      </c>
      <c r="G10">
        <v>20.82</v>
      </c>
      <c r="H10">
        <v>219757.38</v>
      </c>
      <c r="I10">
        <v>21.24</v>
      </c>
      <c r="J10">
        <v>9</v>
      </c>
      <c r="K10" t="s">
        <v>69</v>
      </c>
    </row>
    <row r="11" spans="1:11">
      <c r="A11" t="s">
        <v>70</v>
      </c>
      <c r="B11">
        <v>1593</v>
      </c>
      <c r="C11">
        <v>1593</v>
      </c>
      <c r="D11">
        <v>153</v>
      </c>
      <c r="E11">
        <v>9.6</v>
      </c>
      <c r="F11">
        <v>2.34</v>
      </c>
      <c r="G11">
        <v>17.97</v>
      </c>
      <c r="H11">
        <v>251889.49</v>
      </c>
      <c r="I11">
        <v>22.66</v>
      </c>
      <c r="J11">
        <v>10</v>
      </c>
      <c r="K11" t="s">
        <v>69</v>
      </c>
    </row>
    <row r="12" spans="1:11">
      <c r="A12" t="s">
        <v>37</v>
      </c>
      <c r="B12">
        <v>1957</v>
      </c>
      <c r="C12">
        <v>1957</v>
      </c>
      <c r="D12">
        <v>128</v>
      </c>
      <c r="E12">
        <v>6.54</v>
      </c>
      <c r="F12">
        <v>1.96</v>
      </c>
      <c r="G12">
        <v>15.15</v>
      </c>
      <c r="H12">
        <v>282836.7</v>
      </c>
      <c r="I12">
        <v>18.16</v>
      </c>
      <c r="J12">
        <v>11</v>
      </c>
      <c r="K12" t="s">
        <v>69</v>
      </c>
    </row>
    <row r="13" spans="1:11">
      <c r="A13" t="s">
        <v>42</v>
      </c>
      <c r="B13">
        <v>717</v>
      </c>
      <c r="C13">
        <v>717</v>
      </c>
      <c r="D13">
        <v>125</v>
      </c>
      <c r="E13">
        <v>17.43</v>
      </c>
      <c r="F13">
        <v>1.91</v>
      </c>
      <c r="G13">
        <v>21.12</v>
      </c>
      <c r="H13">
        <v>117009.38</v>
      </c>
      <c r="I13">
        <v>26.32</v>
      </c>
      <c r="J13">
        <v>12</v>
      </c>
      <c r="K13" t="s">
        <v>69</v>
      </c>
    </row>
    <row r="14" spans="1:11">
      <c r="A14" t="s">
        <v>36</v>
      </c>
      <c r="B14">
        <v>2080</v>
      </c>
      <c r="C14">
        <v>2080</v>
      </c>
      <c r="D14">
        <v>118</v>
      </c>
      <c r="E14">
        <v>5.67</v>
      </c>
      <c r="F14">
        <v>1.81</v>
      </c>
      <c r="G14">
        <v>12.51</v>
      </c>
      <c r="H14">
        <v>296498.40999999997</v>
      </c>
      <c r="I14">
        <v>16.739999999999998</v>
      </c>
      <c r="J14">
        <v>13</v>
      </c>
      <c r="K14" t="s">
        <v>69</v>
      </c>
    </row>
    <row r="15" spans="1:11">
      <c r="A15" t="s">
        <v>46</v>
      </c>
      <c r="B15">
        <v>946</v>
      </c>
      <c r="C15">
        <v>946</v>
      </c>
      <c r="D15">
        <v>106</v>
      </c>
      <c r="E15">
        <v>11.21</v>
      </c>
      <c r="F15">
        <v>1.62</v>
      </c>
      <c r="G15">
        <v>23.32</v>
      </c>
      <c r="H15">
        <v>174470.59</v>
      </c>
      <c r="I15">
        <v>21.52</v>
      </c>
      <c r="J15">
        <v>14</v>
      </c>
      <c r="K15" t="s">
        <v>69</v>
      </c>
    </row>
    <row r="16" spans="1:11">
      <c r="A16" t="s">
        <v>41</v>
      </c>
      <c r="B16">
        <v>397</v>
      </c>
      <c r="C16">
        <v>397</v>
      </c>
      <c r="D16">
        <v>85</v>
      </c>
      <c r="E16">
        <v>21.41</v>
      </c>
      <c r="F16">
        <v>1.3</v>
      </c>
      <c r="G16">
        <v>24.04</v>
      </c>
      <c r="H16">
        <v>78855.72</v>
      </c>
      <c r="I16">
        <v>19.420000000000002</v>
      </c>
      <c r="J16">
        <v>15</v>
      </c>
      <c r="K16" t="s">
        <v>69</v>
      </c>
    </row>
    <row r="17" spans="1:11">
      <c r="A17" t="s">
        <v>71</v>
      </c>
      <c r="B17">
        <v>701</v>
      </c>
      <c r="C17">
        <v>701</v>
      </c>
      <c r="D17">
        <v>68</v>
      </c>
      <c r="E17">
        <v>9.6999999999999993</v>
      </c>
      <c r="F17">
        <v>1.04</v>
      </c>
      <c r="G17">
        <v>15.19</v>
      </c>
      <c r="H17">
        <v>115429.97</v>
      </c>
      <c r="I17">
        <v>16.41</v>
      </c>
      <c r="J17">
        <v>16</v>
      </c>
      <c r="K17" t="s">
        <v>69</v>
      </c>
    </row>
    <row r="18" spans="1:11">
      <c r="A18" t="s">
        <v>44</v>
      </c>
      <c r="B18">
        <v>476</v>
      </c>
      <c r="C18">
        <v>476</v>
      </c>
      <c r="D18">
        <v>66</v>
      </c>
      <c r="E18">
        <v>13.87</v>
      </c>
      <c r="F18">
        <v>1.01</v>
      </c>
      <c r="G18">
        <v>18.989999999999998</v>
      </c>
      <c r="H18">
        <v>84721</v>
      </c>
      <c r="I18">
        <v>24.15</v>
      </c>
      <c r="J18">
        <v>17</v>
      </c>
      <c r="K18" t="s">
        <v>69</v>
      </c>
    </row>
    <row r="19" spans="1:11">
      <c r="A19" t="s">
        <v>47</v>
      </c>
      <c r="B19">
        <v>517</v>
      </c>
      <c r="C19">
        <v>517</v>
      </c>
      <c r="D19">
        <v>54</v>
      </c>
      <c r="E19">
        <v>10.44</v>
      </c>
      <c r="F19">
        <v>0.83</v>
      </c>
      <c r="G19">
        <v>19.95</v>
      </c>
      <c r="H19">
        <v>112586.82</v>
      </c>
      <c r="I19">
        <v>22.43</v>
      </c>
      <c r="J19">
        <v>18</v>
      </c>
      <c r="K19" t="s">
        <v>69</v>
      </c>
    </row>
    <row r="20" spans="1:11">
      <c r="A20" t="s">
        <v>72</v>
      </c>
      <c r="B20">
        <v>886</v>
      </c>
      <c r="C20">
        <v>886</v>
      </c>
      <c r="D20">
        <v>53</v>
      </c>
      <c r="E20">
        <v>5.98</v>
      </c>
      <c r="F20">
        <v>0.81</v>
      </c>
      <c r="G20">
        <v>17.59</v>
      </c>
      <c r="H20">
        <v>152191.62</v>
      </c>
      <c r="I20">
        <v>19.079999999999998</v>
      </c>
      <c r="J20">
        <v>19</v>
      </c>
      <c r="K20" t="s">
        <v>69</v>
      </c>
    </row>
    <row r="21" spans="1:11">
      <c r="A21" t="s">
        <v>43</v>
      </c>
      <c r="B21">
        <v>335</v>
      </c>
      <c r="C21">
        <v>335</v>
      </c>
      <c r="D21">
        <v>51</v>
      </c>
      <c r="E21">
        <v>15.22</v>
      </c>
      <c r="F21">
        <v>0.78</v>
      </c>
      <c r="G21">
        <v>21.03</v>
      </c>
      <c r="H21">
        <v>56574.19</v>
      </c>
      <c r="I21">
        <v>24.24</v>
      </c>
      <c r="J21">
        <v>20</v>
      </c>
      <c r="K21" t="s">
        <v>69</v>
      </c>
    </row>
    <row r="22" spans="1:11">
      <c r="A22" t="s">
        <v>73</v>
      </c>
      <c r="B22">
        <v>474</v>
      </c>
      <c r="C22">
        <v>474</v>
      </c>
      <c r="D22">
        <v>44</v>
      </c>
      <c r="E22">
        <v>9.2799999999999994</v>
      </c>
      <c r="F22">
        <v>0.67</v>
      </c>
      <c r="G22">
        <v>18.82</v>
      </c>
      <c r="H22">
        <v>82105.66</v>
      </c>
      <c r="I22">
        <v>22.66</v>
      </c>
      <c r="J22">
        <v>21</v>
      </c>
      <c r="K22" t="s">
        <v>69</v>
      </c>
    </row>
    <row r="23" spans="1:11">
      <c r="A23" t="s">
        <v>74</v>
      </c>
      <c r="B23">
        <v>274</v>
      </c>
      <c r="C23">
        <v>274</v>
      </c>
      <c r="D23">
        <v>27</v>
      </c>
      <c r="E23">
        <v>9.85</v>
      </c>
      <c r="F23">
        <v>0.41</v>
      </c>
      <c r="G23">
        <v>17.23</v>
      </c>
      <c r="H23">
        <v>48402.51</v>
      </c>
      <c r="I23">
        <v>23.98</v>
      </c>
      <c r="J23">
        <v>22</v>
      </c>
      <c r="K23" t="s">
        <v>69</v>
      </c>
    </row>
    <row r="24" spans="1:11">
      <c r="A24" t="s">
        <v>75</v>
      </c>
      <c r="B24">
        <v>243</v>
      </c>
      <c r="C24">
        <v>243</v>
      </c>
      <c r="D24">
        <v>7</v>
      </c>
      <c r="E24">
        <v>2.88</v>
      </c>
      <c r="F24">
        <v>0.11</v>
      </c>
      <c r="G24">
        <v>18.91</v>
      </c>
      <c r="H24">
        <v>45682.76</v>
      </c>
      <c r="I24">
        <v>24.7</v>
      </c>
      <c r="J24">
        <v>23</v>
      </c>
      <c r="K24" t="s">
        <v>69</v>
      </c>
    </row>
    <row r="25" spans="1:11">
      <c r="A25" t="s">
        <v>76</v>
      </c>
      <c r="B25">
        <v>41</v>
      </c>
      <c r="C25">
        <v>41</v>
      </c>
      <c r="D25">
        <v>5</v>
      </c>
      <c r="E25">
        <v>12.2</v>
      </c>
      <c r="F25">
        <v>0.08</v>
      </c>
      <c r="G25">
        <v>28.98</v>
      </c>
      <c r="H25">
        <v>7057.47</v>
      </c>
      <c r="I25">
        <v>28.08</v>
      </c>
      <c r="J25">
        <v>24</v>
      </c>
      <c r="K25" t="s">
        <v>77</v>
      </c>
    </row>
    <row r="26" spans="1:11">
      <c r="A26" t="s">
        <v>78</v>
      </c>
      <c r="B26">
        <v>145</v>
      </c>
      <c r="C26">
        <v>145</v>
      </c>
      <c r="D26">
        <v>4</v>
      </c>
      <c r="E26">
        <v>2.76</v>
      </c>
      <c r="F26">
        <v>0.06</v>
      </c>
      <c r="G26">
        <v>25.99</v>
      </c>
      <c r="H26">
        <v>22155.84</v>
      </c>
      <c r="I26">
        <v>24.51</v>
      </c>
      <c r="J26">
        <v>25</v>
      </c>
      <c r="K26" t="s">
        <v>69</v>
      </c>
    </row>
    <row r="27" spans="1:11">
      <c r="A27" t="s">
        <v>79</v>
      </c>
      <c r="B27">
        <v>80</v>
      </c>
      <c r="C27">
        <v>80</v>
      </c>
      <c r="D27">
        <v>3</v>
      </c>
      <c r="E27">
        <v>3.75</v>
      </c>
      <c r="F27">
        <v>0.05</v>
      </c>
      <c r="G27">
        <v>20.64</v>
      </c>
      <c r="H27">
        <v>15930.97</v>
      </c>
      <c r="I27">
        <v>22.88</v>
      </c>
      <c r="J27">
        <v>26</v>
      </c>
      <c r="K27" t="s">
        <v>77</v>
      </c>
    </row>
    <row r="28" spans="1:11">
      <c r="A28" t="s">
        <v>80</v>
      </c>
      <c r="B28">
        <v>67</v>
      </c>
      <c r="C28">
        <v>67</v>
      </c>
      <c r="D28">
        <v>2</v>
      </c>
      <c r="E28">
        <v>2.99</v>
      </c>
      <c r="F28">
        <v>0.03</v>
      </c>
      <c r="G28">
        <v>26.73</v>
      </c>
      <c r="H28">
        <v>13374.81</v>
      </c>
      <c r="I28">
        <v>20.69</v>
      </c>
      <c r="J28">
        <v>27</v>
      </c>
      <c r="K28" t="s">
        <v>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400F1-BEE3-3441-86D4-DAD8CB874D81}">
  <dimension ref="A1:J16"/>
  <sheetViews>
    <sheetView workbookViewId="0">
      <selection sqref="A1:K16"/>
    </sheetView>
  </sheetViews>
  <sheetFormatPr baseColWidth="10" defaultRowHeight="16"/>
  <sheetData>
    <row r="1" spans="1:10">
      <c r="A1" t="s">
        <v>81</v>
      </c>
      <c r="B1" t="s">
        <v>2</v>
      </c>
      <c r="C1" t="s">
        <v>40</v>
      </c>
      <c r="D1" t="s">
        <v>63</v>
      </c>
      <c r="E1" t="s">
        <v>39</v>
      </c>
      <c r="F1" t="s">
        <v>82</v>
      </c>
      <c r="G1" t="s">
        <v>83</v>
      </c>
      <c r="H1" t="s">
        <v>65</v>
      </c>
      <c r="I1" t="s">
        <v>11</v>
      </c>
      <c r="J1" t="s">
        <v>68</v>
      </c>
    </row>
    <row r="2" spans="1:10">
      <c r="A2" t="s">
        <v>84</v>
      </c>
      <c r="B2">
        <v>1772</v>
      </c>
      <c r="C2">
        <v>1772</v>
      </c>
      <c r="D2">
        <v>172</v>
      </c>
      <c r="E2">
        <v>9.7100000000000009</v>
      </c>
      <c r="F2">
        <v>6.77</v>
      </c>
      <c r="G2">
        <v>2.93</v>
      </c>
      <c r="H2">
        <v>14.01</v>
      </c>
      <c r="I2">
        <v>196882.12</v>
      </c>
      <c r="J2" t="s">
        <v>69</v>
      </c>
    </row>
    <row r="3" spans="1:10">
      <c r="A3" t="s">
        <v>85</v>
      </c>
      <c r="B3">
        <v>1399</v>
      </c>
      <c r="C3">
        <v>1399</v>
      </c>
      <c r="D3">
        <v>124</v>
      </c>
      <c r="E3">
        <v>8.86</v>
      </c>
      <c r="F3">
        <v>6.77</v>
      </c>
      <c r="G3">
        <v>2.09</v>
      </c>
      <c r="H3">
        <v>15.35</v>
      </c>
      <c r="I3">
        <v>106655.71</v>
      </c>
      <c r="J3" t="s">
        <v>69</v>
      </c>
    </row>
    <row r="4" spans="1:10">
      <c r="A4" t="s">
        <v>86</v>
      </c>
      <c r="B4">
        <v>1124</v>
      </c>
      <c r="C4">
        <v>1124</v>
      </c>
      <c r="D4">
        <v>118</v>
      </c>
      <c r="E4">
        <v>10.5</v>
      </c>
      <c r="F4">
        <v>6.77</v>
      </c>
      <c r="G4">
        <v>3.73</v>
      </c>
      <c r="H4">
        <v>14.61</v>
      </c>
      <c r="I4">
        <v>226987.93</v>
      </c>
      <c r="J4" t="s">
        <v>69</v>
      </c>
    </row>
    <row r="5" spans="1:10">
      <c r="A5" t="s">
        <v>87</v>
      </c>
      <c r="B5">
        <v>1819</v>
      </c>
      <c r="C5">
        <v>1819</v>
      </c>
      <c r="D5">
        <v>96</v>
      </c>
      <c r="E5">
        <v>5.28</v>
      </c>
      <c r="F5">
        <v>6.77</v>
      </c>
      <c r="G5">
        <v>-1.5</v>
      </c>
      <c r="H5">
        <v>9.15</v>
      </c>
      <c r="I5">
        <v>120702.83</v>
      </c>
      <c r="J5" t="s">
        <v>69</v>
      </c>
    </row>
    <row r="6" spans="1:10">
      <c r="A6" t="s">
        <v>88</v>
      </c>
      <c r="B6">
        <v>1132</v>
      </c>
      <c r="C6">
        <v>1132</v>
      </c>
      <c r="D6">
        <v>96</v>
      </c>
      <c r="E6">
        <v>8.48</v>
      </c>
      <c r="F6">
        <v>6.77</v>
      </c>
      <c r="G6">
        <v>1.71</v>
      </c>
      <c r="H6">
        <v>12.86</v>
      </c>
      <c r="I6">
        <v>36696.76</v>
      </c>
      <c r="J6" t="s">
        <v>69</v>
      </c>
    </row>
    <row r="7" spans="1:10">
      <c r="A7" t="s">
        <v>89</v>
      </c>
      <c r="B7">
        <v>973</v>
      </c>
      <c r="C7">
        <v>973</v>
      </c>
      <c r="D7">
        <v>89</v>
      </c>
      <c r="E7">
        <v>9.15</v>
      </c>
      <c r="F7">
        <v>6.77</v>
      </c>
      <c r="G7">
        <v>2.37</v>
      </c>
      <c r="H7">
        <v>21.87</v>
      </c>
      <c r="I7">
        <v>186570.05</v>
      </c>
      <c r="J7" t="s">
        <v>69</v>
      </c>
    </row>
    <row r="8" spans="1:10">
      <c r="A8" t="s">
        <v>90</v>
      </c>
      <c r="B8">
        <v>1651</v>
      </c>
      <c r="C8">
        <v>1651</v>
      </c>
      <c r="D8">
        <v>87</v>
      </c>
      <c r="E8">
        <v>5.27</v>
      </c>
      <c r="F8">
        <v>6.77</v>
      </c>
      <c r="G8">
        <v>-1.5</v>
      </c>
      <c r="H8">
        <v>11.11</v>
      </c>
      <c r="I8">
        <v>101090.96</v>
      </c>
      <c r="J8" t="s">
        <v>69</v>
      </c>
    </row>
    <row r="9" spans="1:10">
      <c r="A9" t="s">
        <v>91</v>
      </c>
      <c r="B9">
        <v>1311</v>
      </c>
      <c r="C9">
        <v>1311</v>
      </c>
      <c r="D9">
        <v>87</v>
      </c>
      <c r="E9">
        <v>6.64</v>
      </c>
      <c r="F9">
        <v>6.77</v>
      </c>
      <c r="G9">
        <v>-0.14000000000000001</v>
      </c>
      <c r="H9">
        <v>10.72</v>
      </c>
      <c r="I9">
        <v>159816.87</v>
      </c>
      <c r="J9" t="s">
        <v>69</v>
      </c>
    </row>
    <row r="10" spans="1:10">
      <c r="A10" t="s">
        <v>92</v>
      </c>
      <c r="B10">
        <v>930</v>
      </c>
      <c r="C10">
        <v>930</v>
      </c>
      <c r="D10">
        <v>81</v>
      </c>
      <c r="E10">
        <v>8.7100000000000009</v>
      </c>
      <c r="F10">
        <v>6.77</v>
      </c>
      <c r="G10">
        <v>1.94</v>
      </c>
      <c r="H10">
        <v>12.23</v>
      </c>
      <c r="I10">
        <v>17262.939999999999</v>
      </c>
      <c r="J10" t="s">
        <v>69</v>
      </c>
    </row>
    <row r="11" spans="1:10">
      <c r="A11" t="s">
        <v>93</v>
      </c>
      <c r="B11">
        <v>1261</v>
      </c>
      <c r="C11">
        <v>1261</v>
      </c>
      <c r="D11">
        <v>77</v>
      </c>
      <c r="E11">
        <v>6.11</v>
      </c>
      <c r="F11">
        <v>6.77</v>
      </c>
      <c r="G11">
        <v>-0.67</v>
      </c>
      <c r="H11">
        <v>10.33</v>
      </c>
      <c r="I11">
        <v>131836.71</v>
      </c>
      <c r="J11" t="s">
        <v>69</v>
      </c>
    </row>
    <row r="12" spans="1:10">
      <c r="A12" t="s">
        <v>94</v>
      </c>
      <c r="B12">
        <v>389</v>
      </c>
      <c r="C12">
        <v>389</v>
      </c>
      <c r="D12">
        <v>74</v>
      </c>
      <c r="E12">
        <v>19.02</v>
      </c>
      <c r="F12">
        <v>6.77</v>
      </c>
      <c r="G12">
        <v>12.25</v>
      </c>
      <c r="H12">
        <v>17.260000000000002</v>
      </c>
      <c r="I12">
        <v>36097.980000000003</v>
      </c>
      <c r="J12" t="s">
        <v>69</v>
      </c>
    </row>
    <row r="13" spans="1:10">
      <c r="A13" t="s">
        <v>95</v>
      </c>
      <c r="B13">
        <v>910</v>
      </c>
      <c r="C13">
        <v>910</v>
      </c>
      <c r="D13">
        <v>72</v>
      </c>
      <c r="E13">
        <v>7.91</v>
      </c>
      <c r="F13">
        <v>6.77</v>
      </c>
      <c r="G13">
        <v>1.1399999999999999</v>
      </c>
      <c r="H13">
        <v>11.92</v>
      </c>
      <c r="I13">
        <v>138208.56</v>
      </c>
      <c r="J13" t="s">
        <v>69</v>
      </c>
    </row>
    <row r="14" spans="1:10">
      <c r="A14" t="s">
        <v>96</v>
      </c>
      <c r="B14">
        <v>558</v>
      </c>
      <c r="C14">
        <v>558</v>
      </c>
      <c r="D14">
        <v>64</v>
      </c>
      <c r="E14">
        <v>11.47</v>
      </c>
      <c r="F14">
        <v>6.77</v>
      </c>
      <c r="G14">
        <v>4.7</v>
      </c>
      <c r="H14">
        <v>15.27</v>
      </c>
      <c r="I14">
        <v>112436.18</v>
      </c>
      <c r="J14" t="s">
        <v>69</v>
      </c>
    </row>
    <row r="15" spans="1:10">
      <c r="A15" t="s">
        <v>97</v>
      </c>
      <c r="B15">
        <v>722</v>
      </c>
      <c r="C15">
        <v>722</v>
      </c>
      <c r="D15">
        <v>63</v>
      </c>
      <c r="E15">
        <v>8.73</v>
      </c>
      <c r="F15">
        <v>6.77</v>
      </c>
      <c r="G15">
        <v>1.95</v>
      </c>
      <c r="H15">
        <v>12.44</v>
      </c>
      <c r="I15">
        <v>112461.5</v>
      </c>
      <c r="J15" t="s">
        <v>69</v>
      </c>
    </row>
    <row r="16" spans="1:10">
      <c r="A16" t="s">
        <v>98</v>
      </c>
      <c r="B16">
        <v>1145</v>
      </c>
      <c r="C16">
        <v>1145</v>
      </c>
      <c r="D16">
        <v>60</v>
      </c>
      <c r="E16">
        <v>5.24</v>
      </c>
      <c r="F16">
        <v>6.77</v>
      </c>
      <c r="G16">
        <v>-1.53</v>
      </c>
      <c r="H16">
        <v>10.72</v>
      </c>
      <c r="I16">
        <v>139658.69</v>
      </c>
      <c r="J16" t="s">
        <v>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8E7BC-A541-BA49-A129-9BA52D6C417A}">
  <dimension ref="A1:I25"/>
  <sheetViews>
    <sheetView workbookViewId="0">
      <selection sqref="A1:J25"/>
    </sheetView>
  </sheetViews>
  <sheetFormatPr baseColWidth="10" defaultRowHeight="16"/>
  <sheetData>
    <row r="1" spans="1:9">
      <c r="A1" t="s">
        <v>28</v>
      </c>
      <c r="B1" t="s">
        <v>2</v>
      </c>
      <c r="C1" t="s">
        <v>11</v>
      </c>
      <c r="D1" t="s">
        <v>99</v>
      </c>
      <c r="E1" t="s">
        <v>7</v>
      </c>
      <c r="F1" t="s">
        <v>100</v>
      </c>
      <c r="G1" t="s">
        <v>66</v>
      </c>
      <c r="H1" t="s">
        <v>65</v>
      </c>
      <c r="I1" t="s">
        <v>68</v>
      </c>
    </row>
    <row r="2" spans="1:9">
      <c r="A2" t="s">
        <v>42</v>
      </c>
      <c r="B2">
        <v>717</v>
      </c>
      <c r="C2">
        <v>117009.38</v>
      </c>
      <c r="D2">
        <v>0.88</v>
      </c>
      <c r="E2">
        <v>163.19</v>
      </c>
      <c r="F2">
        <v>42.95</v>
      </c>
      <c r="G2">
        <v>26.32</v>
      </c>
      <c r="H2">
        <v>21.12</v>
      </c>
      <c r="I2" t="s">
        <v>101</v>
      </c>
    </row>
    <row r="3" spans="1:9">
      <c r="A3" t="s">
        <v>75</v>
      </c>
      <c r="B3">
        <v>243</v>
      </c>
      <c r="C3">
        <v>45682.76</v>
      </c>
      <c r="D3">
        <v>0.35</v>
      </c>
      <c r="E3">
        <v>187.99</v>
      </c>
      <c r="F3">
        <v>46.43</v>
      </c>
      <c r="G3">
        <v>24.7</v>
      </c>
      <c r="H3">
        <v>18.91</v>
      </c>
      <c r="I3" t="s">
        <v>101</v>
      </c>
    </row>
    <row r="4" spans="1:9">
      <c r="A4" t="s">
        <v>78</v>
      </c>
      <c r="B4">
        <v>145</v>
      </c>
      <c r="C4">
        <v>22155.84</v>
      </c>
      <c r="D4">
        <v>0.17</v>
      </c>
      <c r="E4">
        <v>152.80000000000001</v>
      </c>
      <c r="F4">
        <v>37.450000000000003</v>
      </c>
      <c r="G4">
        <v>24.51</v>
      </c>
      <c r="H4">
        <v>25.99</v>
      </c>
      <c r="I4" t="s">
        <v>101</v>
      </c>
    </row>
    <row r="5" spans="1:9">
      <c r="A5" t="s">
        <v>43</v>
      </c>
      <c r="B5">
        <v>335</v>
      </c>
      <c r="C5">
        <v>56574.19</v>
      </c>
      <c r="D5">
        <v>0.43</v>
      </c>
      <c r="E5">
        <v>168.88</v>
      </c>
      <c r="F5">
        <v>40.94</v>
      </c>
      <c r="G5">
        <v>24.24</v>
      </c>
      <c r="H5">
        <v>21.03</v>
      </c>
      <c r="I5" t="s">
        <v>101</v>
      </c>
    </row>
    <row r="6" spans="1:9">
      <c r="A6" t="s">
        <v>44</v>
      </c>
      <c r="B6">
        <v>476</v>
      </c>
      <c r="C6">
        <v>84721</v>
      </c>
      <c r="D6">
        <v>0.64</v>
      </c>
      <c r="E6">
        <v>177.99</v>
      </c>
      <c r="F6">
        <v>42.98</v>
      </c>
      <c r="G6">
        <v>24.15</v>
      </c>
      <c r="H6">
        <v>18.989999999999998</v>
      </c>
      <c r="I6" t="s">
        <v>101</v>
      </c>
    </row>
    <row r="7" spans="1:9">
      <c r="A7" t="s">
        <v>74</v>
      </c>
      <c r="B7">
        <v>274</v>
      </c>
      <c r="C7">
        <v>48402.51</v>
      </c>
      <c r="D7">
        <v>0.37</v>
      </c>
      <c r="E7">
        <v>176.65</v>
      </c>
      <c r="F7">
        <v>42.35</v>
      </c>
      <c r="G7">
        <v>23.98</v>
      </c>
      <c r="H7">
        <v>17.23</v>
      </c>
      <c r="I7" t="s">
        <v>101</v>
      </c>
    </row>
    <row r="8" spans="1:9">
      <c r="A8" t="s">
        <v>70</v>
      </c>
      <c r="B8">
        <v>1593</v>
      </c>
      <c r="C8">
        <v>251889.49</v>
      </c>
      <c r="D8">
        <v>1.91</v>
      </c>
      <c r="E8">
        <v>158.12</v>
      </c>
      <c r="F8">
        <v>35.83</v>
      </c>
      <c r="G8">
        <v>22.66</v>
      </c>
      <c r="H8">
        <v>17.97</v>
      </c>
      <c r="I8" t="s">
        <v>101</v>
      </c>
    </row>
    <row r="9" spans="1:9">
      <c r="A9" t="s">
        <v>73</v>
      </c>
      <c r="B9">
        <v>474</v>
      </c>
      <c r="C9">
        <v>82105.66</v>
      </c>
      <c r="D9">
        <v>0.62</v>
      </c>
      <c r="E9">
        <v>173.22</v>
      </c>
      <c r="F9">
        <v>39.26</v>
      </c>
      <c r="G9">
        <v>22.66</v>
      </c>
      <c r="H9">
        <v>18.82</v>
      </c>
      <c r="I9" t="s">
        <v>101</v>
      </c>
    </row>
    <row r="10" spans="1:9">
      <c r="A10" t="s">
        <v>47</v>
      </c>
      <c r="B10">
        <v>517</v>
      </c>
      <c r="C10">
        <v>112586.82</v>
      </c>
      <c r="D10">
        <v>0.85</v>
      </c>
      <c r="E10">
        <v>217.77</v>
      </c>
      <c r="F10">
        <v>48.84</v>
      </c>
      <c r="G10">
        <v>22.43</v>
      </c>
      <c r="H10">
        <v>19.95</v>
      </c>
      <c r="I10" t="s">
        <v>101</v>
      </c>
    </row>
    <row r="11" spans="1:9">
      <c r="A11" t="s">
        <v>46</v>
      </c>
      <c r="B11">
        <v>946</v>
      </c>
      <c r="C11">
        <v>174470.59</v>
      </c>
      <c r="D11">
        <v>1.32</v>
      </c>
      <c r="E11">
        <v>184.43</v>
      </c>
      <c r="F11">
        <v>39.700000000000003</v>
      </c>
      <c r="G11">
        <v>21.52</v>
      </c>
      <c r="H11">
        <v>23.32</v>
      </c>
      <c r="I11" t="s">
        <v>101</v>
      </c>
    </row>
    <row r="12" spans="1:9">
      <c r="A12" t="s">
        <v>45</v>
      </c>
      <c r="B12">
        <v>1279</v>
      </c>
      <c r="C12">
        <v>219757.38</v>
      </c>
      <c r="D12">
        <v>1.66</v>
      </c>
      <c r="E12">
        <v>171.82</v>
      </c>
      <c r="F12">
        <v>36.5</v>
      </c>
      <c r="G12">
        <v>21.24</v>
      </c>
      <c r="H12">
        <v>20.82</v>
      </c>
      <c r="I12" t="s">
        <v>101</v>
      </c>
    </row>
    <row r="13" spans="1:9">
      <c r="A13" t="s">
        <v>35</v>
      </c>
      <c r="B13">
        <v>3256</v>
      </c>
      <c r="C13">
        <v>493584.14</v>
      </c>
      <c r="D13">
        <v>3.73</v>
      </c>
      <c r="E13">
        <v>151.59</v>
      </c>
      <c r="F13">
        <v>29.96</v>
      </c>
      <c r="G13">
        <v>19.760000000000002</v>
      </c>
      <c r="H13">
        <v>18.87</v>
      </c>
      <c r="I13" t="s">
        <v>101</v>
      </c>
    </row>
    <row r="14" spans="1:9">
      <c r="A14" t="s">
        <v>41</v>
      </c>
      <c r="B14">
        <v>397</v>
      </c>
      <c r="C14">
        <v>78855.72</v>
      </c>
      <c r="D14">
        <v>0.6</v>
      </c>
      <c r="E14">
        <v>198.63</v>
      </c>
      <c r="F14">
        <v>38.58</v>
      </c>
      <c r="G14">
        <v>19.420000000000002</v>
      </c>
      <c r="H14">
        <v>24.04</v>
      </c>
      <c r="I14" t="s">
        <v>101</v>
      </c>
    </row>
    <row r="15" spans="1:9">
      <c r="A15" t="s">
        <v>72</v>
      </c>
      <c r="B15">
        <v>886</v>
      </c>
      <c r="C15">
        <v>152191.62</v>
      </c>
      <c r="D15">
        <v>1.1499999999999999</v>
      </c>
      <c r="E15">
        <v>171.77</v>
      </c>
      <c r="F15">
        <v>32.770000000000003</v>
      </c>
      <c r="G15">
        <v>19.079999999999998</v>
      </c>
      <c r="H15">
        <v>17.59</v>
      </c>
      <c r="I15" t="s">
        <v>101</v>
      </c>
    </row>
    <row r="16" spans="1:9">
      <c r="A16" t="s">
        <v>38</v>
      </c>
      <c r="B16">
        <v>1995</v>
      </c>
      <c r="C16">
        <v>268643.45</v>
      </c>
      <c r="D16">
        <v>2.0299999999999998</v>
      </c>
      <c r="E16">
        <v>134.66</v>
      </c>
      <c r="F16">
        <v>24.57</v>
      </c>
      <c r="G16">
        <v>18.25</v>
      </c>
      <c r="H16">
        <v>15.33</v>
      </c>
      <c r="I16" t="s">
        <v>101</v>
      </c>
    </row>
    <row r="17" spans="1:9">
      <c r="A17" t="s">
        <v>32</v>
      </c>
      <c r="B17">
        <v>5345</v>
      </c>
      <c r="C17">
        <v>728897.47</v>
      </c>
      <c r="D17">
        <v>5.51</v>
      </c>
      <c r="E17">
        <v>136.37</v>
      </c>
      <c r="F17">
        <v>24.8</v>
      </c>
      <c r="G17">
        <v>18.190000000000001</v>
      </c>
      <c r="H17">
        <v>14.82</v>
      </c>
      <c r="I17" t="s">
        <v>101</v>
      </c>
    </row>
    <row r="18" spans="1:9">
      <c r="A18" t="s">
        <v>37</v>
      </c>
      <c r="B18">
        <v>1957</v>
      </c>
      <c r="C18">
        <v>282836.7</v>
      </c>
      <c r="D18">
        <v>2.14</v>
      </c>
      <c r="E18">
        <v>144.53</v>
      </c>
      <c r="F18">
        <v>26.25</v>
      </c>
      <c r="G18">
        <v>18.16</v>
      </c>
      <c r="H18">
        <v>15.15</v>
      </c>
      <c r="I18" t="s">
        <v>101</v>
      </c>
    </row>
    <row r="19" spans="1:9">
      <c r="A19" t="s">
        <v>34</v>
      </c>
      <c r="B19">
        <v>3546</v>
      </c>
      <c r="C19">
        <v>507012.13</v>
      </c>
      <c r="D19">
        <v>3.83</v>
      </c>
      <c r="E19">
        <v>142.97999999999999</v>
      </c>
      <c r="F19">
        <v>24.85</v>
      </c>
      <c r="G19">
        <v>17.38</v>
      </c>
      <c r="H19">
        <v>14.48</v>
      </c>
      <c r="I19" t="s">
        <v>101</v>
      </c>
    </row>
    <row r="20" spans="1:9">
      <c r="A20" t="s">
        <v>33</v>
      </c>
      <c r="B20">
        <v>4923</v>
      </c>
      <c r="C20">
        <v>666063.51</v>
      </c>
      <c r="D20">
        <v>5.04</v>
      </c>
      <c r="E20">
        <v>135.30000000000001</v>
      </c>
      <c r="F20">
        <v>23.49</v>
      </c>
      <c r="G20">
        <v>17.36</v>
      </c>
      <c r="H20">
        <v>11.53</v>
      </c>
      <c r="I20" t="s">
        <v>101</v>
      </c>
    </row>
    <row r="21" spans="1:9">
      <c r="A21" t="s">
        <v>31</v>
      </c>
      <c r="B21">
        <v>11354</v>
      </c>
      <c r="C21">
        <v>1552481.83</v>
      </c>
      <c r="D21">
        <v>11.74</v>
      </c>
      <c r="E21">
        <v>136.72999999999999</v>
      </c>
      <c r="F21">
        <v>23.46</v>
      </c>
      <c r="G21">
        <v>17.16</v>
      </c>
      <c r="H21">
        <v>11.54</v>
      </c>
      <c r="I21" t="s">
        <v>101</v>
      </c>
    </row>
    <row r="22" spans="1:9">
      <c r="A22" t="s">
        <v>30</v>
      </c>
      <c r="B22">
        <v>12350</v>
      </c>
      <c r="C22">
        <v>1759651.13</v>
      </c>
      <c r="D22">
        <v>13.31</v>
      </c>
      <c r="E22">
        <v>142.47999999999999</v>
      </c>
      <c r="F22">
        <v>23.95</v>
      </c>
      <c r="G22">
        <v>16.809999999999999</v>
      </c>
      <c r="H22">
        <v>14.85</v>
      </c>
      <c r="I22" t="s">
        <v>101</v>
      </c>
    </row>
    <row r="23" spans="1:9">
      <c r="A23" t="s">
        <v>36</v>
      </c>
      <c r="B23">
        <v>2080</v>
      </c>
      <c r="C23">
        <v>296498.40999999997</v>
      </c>
      <c r="D23">
        <v>2.2400000000000002</v>
      </c>
      <c r="E23">
        <v>142.55000000000001</v>
      </c>
      <c r="F23">
        <v>23.86</v>
      </c>
      <c r="G23">
        <v>16.739999999999998</v>
      </c>
      <c r="H23">
        <v>12.51</v>
      </c>
      <c r="I23" t="s">
        <v>101</v>
      </c>
    </row>
    <row r="24" spans="1:9">
      <c r="A24" t="s">
        <v>71</v>
      </c>
      <c r="B24">
        <v>701</v>
      </c>
      <c r="C24">
        <v>115429.97</v>
      </c>
      <c r="D24">
        <v>0.87</v>
      </c>
      <c r="E24">
        <v>164.66</v>
      </c>
      <c r="F24">
        <v>27.02</v>
      </c>
      <c r="G24">
        <v>16.41</v>
      </c>
      <c r="H24">
        <v>15.19</v>
      </c>
      <c r="I24" t="s">
        <v>101</v>
      </c>
    </row>
    <row r="25" spans="1:9">
      <c r="A25" t="s">
        <v>29</v>
      </c>
      <c r="B25">
        <v>40501</v>
      </c>
      <c r="C25">
        <v>5067633.16</v>
      </c>
      <c r="D25">
        <v>38.33</v>
      </c>
      <c r="E25">
        <v>125.12</v>
      </c>
      <c r="F25">
        <v>17.329999999999998</v>
      </c>
      <c r="G25">
        <v>13.85</v>
      </c>
      <c r="H25">
        <v>8.3000000000000007</v>
      </c>
      <c r="I25" t="s">
        <v>101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DBCE-A45D-3644-917F-AA0803D408C9}">
  <dimension ref="A1:Z45"/>
  <sheetViews>
    <sheetView showGridLines="0" showRowColHeaders="0" topLeftCell="A2" zoomScale="60" zoomScaleNormal="60" workbookViewId="0">
      <selection activeCell="E41" sqref="E41"/>
    </sheetView>
  </sheetViews>
  <sheetFormatPr baseColWidth="10" defaultRowHeight="16"/>
  <cols>
    <col min="1" max="26" width="5.83203125" customWidth="1"/>
  </cols>
  <sheetData xmlns="http://schemas.openxmlformats.org/spreadsheetml/2006/main">
    <row r="1" spans="1:26" ht="22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2" customHeight="1">
      <c r="A2" s="6"/>
      <c r="B2" s="11" t="s">
        <v>102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6"/>
    </row>
    <row r="3" spans="1:26" ht="22" customHeight="1">
      <c r="A3" s="6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6"/>
    </row>
    <row r="4" spans="1:26" ht="22" customHeight="1">
      <c r="A4" s="6"/>
      <c r="B4" s="13" t="s">
        <v>103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6"/>
    </row>
    <row r="5" spans="1:26" ht="22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2" customHeight="1">
      <c r="A6" s="6"/>
      <c r="B6" s="7" t="s">
        <v>104</v>
      </c>
      <c r="C6" s="8"/>
      <c r="D6" s="8"/>
      <c r="E6" s="8"/>
      <c r="F6" s="8"/>
      <c r="G6" s="6"/>
      <c r="H6" s="7" t="s">
        <v>105</v>
      </c>
      <c r="I6" s="8"/>
      <c r="J6" s="8"/>
      <c r="K6" s="8"/>
      <c r="L6" s="8"/>
      <c r="M6" s="6"/>
      <c r="N6" s="7" t="s">
        <v>106</v>
      </c>
      <c r="O6" s="8"/>
      <c r="P6" s="8"/>
      <c r="Q6" s="8"/>
      <c r="R6" s="8"/>
      <c r="S6" s="6"/>
      <c r="T6" s="7" t="s">
        <v>107</v>
      </c>
      <c r="U6" s="8"/>
      <c r="V6" s="8"/>
      <c r="W6" s="8"/>
      <c r="X6" s="8"/>
      <c r="Y6" s="6"/>
      <c r="Z6" s="6"/>
    </row>
    <row r="7" spans="1:26" ht="22" customHeight="1">
      <c r="A7" s="6"/>
      <c r="B7" s="16">
        <f>SUM(monthly_growth!D2:D21)</f>
        <v>13181027.129999999</v>
      </c>
      <c r="C7" s="16"/>
      <c r="D7" s="16"/>
      <c r="E7" s="16"/>
      <c r="F7" s="16"/>
      <c r="G7" s="6"/>
      <c r="H7" s="15">
        <f>SUM(monthly_growth!C2:C21)</f>
        <v>96211</v>
      </c>
      <c r="I7" s="15"/>
      <c r="J7" s="15"/>
      <c r="K7" s="15"/>
      <c r="L7" s="15"/>
      <c r="M7" s="6"/>
      <c r="N7" s="17">
        <f>SUM(monthly_growth!D2:D21)/SUM(monthly_growth!C2:C21)</f>
        <v>137.00124860982632</v>
      </c>
      <c r="O7" s="17"/>
      <c r="P7" s="17"/>
      <c r="Q7" s="17"/>
      <c r="R7" s="17"/>
      <c r="S7" s="6"/>
      <c r="T7" s="14">
        <f>SUM(monthly_growth!D14:D21)/SUM(monthly_growth!D2:D9)-1</f>
        <v>1.4113014544161704</v>
      </c>
      <c r="U7" s="14"/>
      <c r="V7" s="14"/>
      <c r="W7" s="14"/>
      <c r="X7" s="14"/>
      <c r="Y7" s="6"/>
      <c r="Z7" s="6"/>
    </row>
    <row r="8" spans="1:26" ht="22" customHeight="1">
      <c r="A8" s="6"/>
      <c r="B8" s="16"/>
      <c r="C8" s="16"/>
      <c r="D8" s="16"/>
      <c r="E8" s="16"/>
      <c r="F8" s="16"/>
      <c r="G8" s="6"/>
      <c r="H8" s="15"/>
      <c r="I8" s="15"/>
      <c r="J8" s="15"/>
      <c r="K8" s="15"/>
      <c r="L8" s="15"/>
      <c r="M8" s="6"/>
      <c r="N8" s="17"/>
      <c r="O8" s="17"/>
      <c r="P8" s="17"/>
      <c r="Q8" s="17"/>
      <c r="R8" s="17"/>
      <c r="S8" s="6"/>
      <c r="T8" s="14"/>
      <c r="U8" s="14"/>
      <c r="V8" s="14"/>
      <c r="W8" s="14"/>
      <c r="X8" s="14"/>
      <c r="Y8" s="6"/>
      <c r="Z8" s="6"/>
    </row>
    <row r="9" spans="1:26" ht="22" customHeight="1">
      <c r="A9" s="6"/>
      <c r="B9" s="16"/>
      <c r="C9" s="16"/>
      <c r="D9" s="16"/>
      <c r="E9" s="16"/>
      <c r="F9" s="16"/>
      <c r="G9" s="6"/>
      <c r="H9" s="15"/>
      <c r="I9" s="15"/>
      <c r="J9" s="15"/>
      <c r="K9" s="15"/>
      <c r="L9" s="15"/>
      <c r="M9" s="6"/>
      <c r="N9" s="17"/>
      <c r="O9" s="17"/>
      <c r="P9" s="17"/>
      <c r="Q9" s="17"/>
      <c r="R9" s="17"/>
      <c r="S9" s="6"/>
      <c r="T9" s="14"/>
      <c r="U9" s="14"/>
      <c r="V9" s="14"/>
      <c r="W9" s="14"/>
      <c r="X9" s="14"/>
      <c r="Y9" s="6"/>
      <c r="Z9" s="6"/>
    </row>
    <row r="10" spans="1:26" ht="22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2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2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2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2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2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2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2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2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2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2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2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2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2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2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2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2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2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2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2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2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2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2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2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2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2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2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22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2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2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22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22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2" customHeight="1">
      <c r="B42" s="23" t="str">
        <v>Period: headline sales, orders and AOV cover Jan 2017–Aug 2018. YoY compares Jan–Aug 2018 with Jan–Aug 2017. State and category rankings use the full dataset.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ht="22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ht="22" customHeight="1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6" ht="22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</sheetData>
  <mergeCells xmlns="http://schemas.openxmlformats.org/spreadsheetml/2006/main" count="7">
    <mergeCell ref="B2:Y3"/>
    <mergeCell ref="B4:Y4"/>
    <mergeCell ref="B7:F9"/>
    <mergeCell ref="H7:L9"/>
    <mergeCell ref="N7:R9"/>
    <mergeCell ref="T7:X9"/>
    <mergeCell ref="B42:Y44"/>
  </mergeCells>
  <pageMargins left="0.7" right="0.7" top="0.75" bottom="0.75" header="0.3" footer="0.3"/>
  <pageSetup orientation="portrait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EC42-8AB4-CA45-BE94-1A171801B6B6}">
  <dimension ref="A1:T28"/>
  <sheetViews>
    <sheetView topLeftCell="N1" workbookViewId="0">
      <selection activeCell="R25" sqref="R25"/>
    </sheetView>
  </sheetViews>
  <sheetFormatPr baseColWidth="10" defaultRowHeight="16"/>
  <cols>
    <col min="6" max="6" width="11.83203125" customWidth="1"/>
    <col min="12" max="12" width="13.5" customWidth="1"/>
    <col min="13" max="13" width="23.6640625" customWidth="1"/>
    <col min="16" max="16" width="24.33203125" customWidth="1"/>
    <col min="18" max="18" width="33.1640625" customWidth="1"/>
  </cols>
  <sheetData>
    <row r="1" spans="1:20">
      <c r="A1" t="s">
        <v>108</v>
      </c>
      <c r="B1" t="s">
        <v>109</v>
      </c>
      <c r="C1" t="s">
        <v>110</v>
      </c>
      <c r="E1" t="s">
        <v>108</v>
      </c>
      <c r="F1" t="s">
        <v>123</v>
      </c>
      <c r="G1" t="s">
        <v>124</v>
      </c>
      <c r="I1" t="s">
        <v>131</v>
      </c>
      <c r="J1" t="s">
        <v>132</v>
      </c>
      <c r="L1" t="s">
        <v>133</v>
      </c>
      <c r="M1" t="s">
        <v>134</v>
      </c>
      <c r="O1" t="s">
        <v>131</v>
      </c>
      <c r="P1" t="s">
        <v>135</v>
      </c>
      <c r="R1" t="s">
        <v>136</v>
      </c>
      <c r="S1" t="s">
        <v>137</v>
      </c>
    </row>
    <row r="2" spans="1:20" ht="17">
      <c r="A2" t="s">
        <v>111</v>
      </c>
      <c r="B2">
        <f>monthly_growth!D2</f>
        <v>111798.36</v>
      </c>
      <c r="C2">
        <f>monthly_growth!D14</f>
        <v>924645</v>
      </c>
      <c r="E2" t="str">
        <f>A2</f>
        <v>january</v>
      </c>
      <c r="F2" s="9">
        <f>monthly_growth!K14/100</f>
        <v>8.4253</v>
      </c>
      <c r="G2" s="9">
        <f>monthly_growth!L14/100</f>
        <v>-0.1225</v>
      </c>
      <c r="I2" t="str">
        <f>delivery_priority!A2</f>
        <v>SP</v>
      </c>
      <c r="J2">
        <f>delivery_priority!D2</f>
        <v>1820</v>
      </c>
      <c r="L2" s="10">
        <f>customer_repeat_90d!A2</f>
        <v>42736</v>
      </c>
      <c r="M2" s="9">
        <f>customer_repeat_90d!D2/100</f>
        <v>3.6299999999999999E-2</v>
      </c>
      <c r="O2" s="2" t="str">
        <f>state_freight!A2</f>
        <v>MA</v>
      </c>
      <c r="P2" s="18">
        <f>state_freight!G2/100</f>
        <v>0.26319999999999999</v>
      </c>
      <c r="R2" s="2" t="str">
        <f>LEFT(seller_delivery!A2,8)</f>
        <v>4a3ca931</v>
      </c>
      <c r="S2" s="2">
        <f>seller_delivery!D2</f>
        <v>172</v>
      </c>
      <c r="T2">
        <f>COUNTIF($R$2:$R$16,R2)</f>
        <v>1</v>
      </c>
    </row>
    <row r="3" spans="1:20" ht="17">
      <c r="A3" t="s">
        <v>112</v>
      </c>
      <c r="B3">
        <f>monthly_growth!D3</f>
        <v>234223.4</v>
      </c>
      <c r="C3">
        <f>monthly_growth!D15</f>
        <v>826437.13</v>
      </c>
      <c r="E3" t="str">
        <f t="shared" ref="E3:E13" si="0">A3</f>
        <v>february</v>
      </c>
      <c r="F3" s="9">
        <f>monthly_growth!K15/100</f>
        <v>2.9655</v>
      </c>
      <c r="G3" s="9">
        <f>monthly_growth!L15/100</f>
        <v>-0.11019999999999999</v>
      </c>
      <c r="I3" t="str">
        <f>delivery_priority!A3</f>
        <v>RJ</v>
      </c>
      <c r="J3">
        <f>delivery_priority!D3</f>
        <v>1495</v>
      </c>
      <c r="L3" s="10">
        <f>customer_repeat_90d!A3</f>
        <v>42767</v>
      </c>
      <c r="M3" s="9">
        <f>customer_repeat_90d!D3/100</f>
        <v>1.72E-2</v>
      </c>
      <c r="O3" s="2" t="str">
        <f>state_freight!A3</f>
        <v>RO</v>
      </c>
      <c r="P3" s="18">
        <f>state_freight!G3/100</f>
        <v>0.247</v>
      </c>
      <c r="R3" s="2" t="str">
        <f>LEFT(seller_delivery!A3,8)</f>
        <v>1f50f920</v>
      </c>
      <c r="S3" s="2">
        <f>seller_delivery!D3</f>
        <v>124</v>
      </c>
      <c r="T3">
        <f t="shared" ref="T3:T16" si="1">COUNTIF($R$2:$R$16,R3)</f>
        <v>1</v>
      </c>
    </row>
    <row r="4" spans="1:20" ht="17">
      <c r="A4" t="s">
        <v>113</v>
      </c>
      <c r="B4">
        <f>monthly_growth!D4</f>
        <v>359198.85</v>
      </c>
      <c r="C4">
        <f>monthly_growth!D16</f>
        <v>953356.25</v>
      </c>
      <c r="E4" t="str">
        <f t="shared" si="0"/>
        <v>march</v>
      </c>
      <c r="F4" s="9">
        <f>monthly_growth!K16/100</f>
        <v>1.7505999999999999</v>
      </c>
      <c r="G4" s="9">
        <f>monthly_growth!L16/100</f>
        <v>-3.5099999999999999E-2</v>
      </c>
      <c r="I4" t="str">
        <f>delivery_priority!A4</f>
        <v>MG</v>
      </c>
      <c r="J4">
        <f>delivery_priority!D4</f>
        <v>519</v>
      </c>
      <c r="L4" s="10">
        <f>customer_repeat_90d!A4</f>
        <v>42795</v>
      </c>
      <c r="M4" s="9">
        <f>customer_repeat_90d!D4/100</f>
        <v>2.4799999999999999E-2</v>
      </c>
      <c r="O4" s="2" t="str">
        <f>state_freight!A4</f>
        <v>AM</v>
      </c>
      <c r="P4" s="18">
        <f>state_freight!G4/100</f>
        <v>0.24510000000000001</v>
      </c>
      <c r="R4" s="2" t="str">
        <f>LEFT(seller_delivery!A4,8)</f>
        <v>4869f7a5</v>
      </c>
      <c r="S4" s="2">
        <f>seller_delivery!D4</f>
        <v>118</v>
      </c>
      <c r="T4">
        <f t="shared" si="1"/>
        <v>1</v>
      </c>
    </row>
    <row r="5" spans="1:20" ht="17">
      <c r="A5" t="s">
        <v>114</v>
      </c>
      <c r="B5">
        <f>monthly_growth!D5</f>
        <v>340669.68</v>
      </c>
      <c r="C5">
        <f>monthly_growth!D17</f>
        <v>973534.09</v>
      </c>
      <c r="E5" t="str">
        <f t="shared" si="0"/>
        <v>april</v>
      </c>
      <c r="F5" s="9">
        <f>monthly_growth!K17/100</f>
        <v>1.9518</v>
      </c>
      <c r="G5" s="9">
        <f>monthly_growth!L17/100</f>
        <v>-3.1899999999999998E-2</v>
      </c>
      <c r="I5" t="str">
        <f>delivery_priority!A5</f>
        <v>BA</v>
      </c>
      <c r="J5">
        <f>delivery_priority!D5</f>
        <v>396</v>
      </c>
      <c r="L5" s="10">
        <f>customer_repeat_90d!A5</f>
        <v>42826</v>
      </c>
      <c r="M5" s="9">
        <f>customer_repeat_90d!D5/100</f>
        <v>2.1299999999999999E-2</v>
      </c>
      <c r="O5" s="2" t="str">
        <f>state_freight!A5</f>
        <v>SE</v>
      </c>
      <c r="P5" s="18">
        <f>state_freight!G5/100</f>
        <v>0.24239999999999998</v>
      </c>
      <c r="R5" s="2" t="str">
        <f>LEFT(seller_delivery!A5,8)</f>
        <v>6560211a</v>
      </c>
      <c r="S5" s="2">
        <f>seller_delivery!D5</f>
        <v>96</v>
      </c>
      <c r="T5">
        <f t="shared" si="1"/>
        <v>1</v>
      </c>
    </row>
    <row r="6" spans="1:20" ht="17">
      <c r="A6" t="s">
        <v>115</v>
      </c>
      <c r="B6">
        <f>monthly_growth!D6</f>
        <v>489338.25</v>
      </c>
      <c r="C6">
        <f>monthly_growth!D18</f>
        <v>977544.69</v>
      </c>
      <c r="E6" t="str">
        <f t="shared" si="0"/>
        <v>may</v>
      </c>
      <c r="F6" s="9">
        <f>monthly_growth!K18/100</f>
        <v>0.90329999999999999</v>
      </c>
      <c r="G6" s="9">
        <f>monthly_growth!L18/100</f>
        <v>4.9599999999999998E-2</v>
      </c>
      <c r="I6" t="str">
        <f>delivery_priority!A6</f>
        <v>RS</v>
      </c>
      <c r="J6">
        <f>delivery_priority!D6</f>
        <v>325</v>
      </c>
      <c r="L6" s="10">
        <f>customer_repeat_90d!A6</f>
        <v>42856</v>
      </c>
      <c r="M6" s="9">
        <f>customer_repeat_90d!D6/100</f>
        <v>2.8399999999999998E-2</v>
      </c>
      <c r="O6" s="2" t="str">
        <f>state_freight!A6</f>
        <v>PI</v>
      </c>
      <c r="P6" s="18">
        <f>state_freight!G6/100</f>
        <v>0.24149999999999999</v>
      </c>
      <c r="R6" s="2" t="str">
        <f>LEFT(seller_delivery!A6,8)</f>
        <v>ea8482cd</v>
      </c>
      <c r="S6" s="2">
        <f>seller_delivery!D6</f>
        <v>96</v>
      </c>
      <c r="T6">
        <f t="shared" si="1"/>
        <v>1</v>
      </c>
    </row>
    <row r="7" spans="1:20" ht="17">
      <c r="A7" t="s">
        <v>116</v>
      </c>
      <c r="B7">
        <f>monthly_growth!D7</f>
        <v>421923.37</v>
      </c>
      <c r="C7">
        <f>monthly_growth!D19</f>
        <v>856077.86</v>
      </c>
      <c r="E7" t="str">
        <f t="shared" si="0"/>
        <v>june</v>
      </c>
      <c r="F7" s="9">
        <f>monthly_growth!K19/100</f>
        <v>0.94550000000000001</v>
      </c>
      <c r="G7" s="9">
        <f>monthly_growth!L19/100</f>
        <v>4.2900000000000001E-2</v>
      </c>
      <c r="I7" t="str">
        <f>delivery_priority!A7</f>
        <v>SC</v>
      </c>
      <c r="J7">
        <f>delivery_priority!D7</f>
        <v>291</v>
      </c>
      <c r="L7" s="10">
        <f>customer_repeat_90d!A7</f>
        <v>42887</v>
      </c>
      <c r="M7" s="9">
        <f>customer_repeat_90d!D7/100</f>
        <v>2.8300000000000002E-2</v>
      </c>
      <c r="O7" s="2" t="str">
        <f>state_freight!A7</f>
        <v>TO</v>
      </c>
      <c r="P7" s="18">
        <f>state_freight!G7/100</f>
        <v>0.23980000000000001</v>
      </c>
      <c r="R7" s="2" t="str">
        <f>LEFT(seller_delivery!A7,8)</f>
        <v>7c67e144</v>
      </c>
      <c r="S7" s="2">
        <f>seller_delivery!D7</f>
        <v>89</v>
      </c>
      <c r="T7">
        <f t="shared" si="1"/>
        <v>1</v>
      </c>
    </row>
    <row r="8" spans="1:20" ht="17">
      <c r="A8" t="s">
        <v>117</v>
      </c>
      <c r="B8">
        <f>monthly_growth!D8</f>
        <v>481604.52</v>
      </c>
      <c r="C8">
        <f>monthly_growth!D20</f>
        <v>867953.46</v>
      </c>
      <c r="E8" t="str">
        <f t="shared" si="0"/>
        <v>july</v>
      </c>
      <c r="F8" s="9">
        <f>monthly_growth!K20/100</f>
        <v>0.5907</v>
      </c>
      <c r="G8" s="9">
        <f>monthly_growth!L20/100</f>
        <v>0.13300000000000001</v>
      </c>
      <c r="I8" t="str">
        <f>delivery_priority!A8</f>
        <v>ES</v>
      </c>
      <c r="J8">
        <f>delivery_priority!D8</f>
        <v>214</v>
      </c>
      <c r="L8" s="10">
        <f>customer_repeat_90d!A8</f>
        <v>42917</v>
      </c>
      <c r="M8" s="9">
        <f>customer_repeat_90d!D8/100</f>
        <v>2.5899999999999999E-2</v>
      </c>
      <c r="O8" s="2" t="str">
        <f>state_freight!A8</f>
        <v>PE</v>
      </c>
      <c r="P8" s="18">
        <f>state_freight!G8/100</f>
        <v>0.2266</v>
      </c>
      <c r="R8" s="2" t="str">
        <f>LEFT(seller_delivery!A8,8)</f>
        <v>cc419e06</v>
      </c>
      <c r="S8" s="2">
        <f>seller_delivery!D8</f>
        <v>87</v>
      </c>
      <c r="T8">
        <f t="shared" si="1"/>
        <v>1</v>
      </c>
    </row>
    <row r="9" spans="1:20" ht="17">
      <c r="A9" t="s">
        <v>118</v>
      </c>
      <c r="B9">
        <f>monthly_growth!D9</f>
        <v>554699.69999999995</v>
      </c>
      <c r="C9">
        <f>monthly_growth!D21</f>
        <v>838576.64000000001</v>
      </c>
      <c r="E9" t="str">
        <f t="shared" si="0"/>
        <v>august</v>
      </c>
      <c r="F9" s="9">
        <f>monthly_growth!K21/100</f>
        <v>0.51469999999999994</v>
      </c>
      <c r="G9" s="9">
        <f>monthly_growth!L21/100</f>
        <v>-1.9E-3</v>
      </c>
      <c r="I9" t="str">
        <f>delivery_priority!A9</f>
        <v>PR</v>
      </c>
      <c r="J9">
        <f>delivery_priority!D9</f>
        <v>199</v>
      </c>
      <c r="L9" s="10">
        <f>customer_repeat_90d!A9</f>
        <v>42948</v>
      </c>
      <c r="M9" s="9">
        <f>customer_repeat_90d!D9/100</f>
        <v>2.76E-2</v>
      </c>
      <c r="O9" s="2" t="str">
        <f>state_freight!A9</f>
        <v>RN</v>
      </c>
      <c r="P9" s="18">
        <f>state_freight!G9/100</f>
        <v>0.2266</v>
      </c>
      <c r="R9" s="2" t="str">
        <f>LEFT(seller_delivery!A9,8)</f>
        <v>da8622b1</v>
      </c>
      <c r="S9" s="2">
        <f>seller_delivery!D9</f>
        <v>87</v>
      </c>
      <c r="T9">
        <f t="shared" si="1"/>
        <v>1</v>
      </c>
    </row>
    <row r="10" spans="1:20" ht="17">
      <c r="A10" t="s">
        <v>119</v>
      </c>
      <c r="B10">
        <f>monthly_growth!D10</f>
        <v>607399.67000000004</v>
      </c>
      <c r="E10" t="str">
        <f t="shared" si="0"/>
        <v>september</v>
      </c>
      <c r="F10" s="9"/>
      <c r="I10" t="str">
        <f>delivery_priority!A10</f>
        <v>CE</v>
      </c>
      <c r="J10">
        <f>delivery_priority!D10</f>
        <v>176</v>
      </c>
      <c r="L10" s="10">
        <f>customer_repeat_90d!A10</f>
        <v>42979</v>
      </c>
      <c r="M10" s="9">
        <f>customer_repeat_90d!D10/100</f>
        <v>2.8500000000000001E-2</v>
      </c>
      <c r="O10" s="2" t="str">
        <f>state_freight!A10</f>
        <v>PB</v>
      </c>
      <c r="P10" s="18">
        <f>state_freight!G10/100</f>
        <v>0.2243</v>
      </c>
      <c r="R10" s="2" t="str">
        <f>LEFT(seller_delivery!A10,8)</f>
        <v>8b321bb6</v>
      </c>
      <c r="S10" s="2">
        <f>seller_delivery!D10</f>
        <v>81</v>
      </c>
      <c r="T10">
        <f t="shared" si="1"/>
        <v>1</v>
      </c>
    </row>
    <row r="11" spans="1:20" ht="17">
      <c r="A11" t="s">
        <v>120</v>
      </c>
      <c r="B11">
        <f>monthly_growth!D11</f>
        <v>648247.65</v>
      </c>
      <c r="E11" t="str">
        <f t="shared" si="0"/>
        <v>october</v>
      </c>
      <c r="F11" s="9"/>
      <c r="I11" t="str">
        <f>delivery_priority!A11</f>
        <v>PE</v>
      </c>
      <c r="J11">
        <f>delivery_priority!D11</f>
        <v>153</v>
      </c>
      <c r="L11" s="10">
        <f>customer_repeat_90d!A11</f>
        <v>43009</v>
      </c>
      <c r="M11" s="9">
        <f>customer_repeat_90d!D11/100</f>
        <v>2.2400000000000003E-2</v>
      </c>
      <c r="O11" s="2" t="str">
        <f>state_freight!A11</f>
        <v>PA</v>
      </c>
      <c r="P11" s="18">
        <f>state_freight!G11/100</f>
        <v>0.2152</v>
      </c>
      <c r="R11" s="2" t="str">
        <f>LEFT(seller_delivery!A11,8)</f>
        <v>955fee92</v>
      </c>
      <c r="S11" s="2">
        <f>seller_delivery!D11</f>
        <v>77</v>
      </c>
      <c r="T11">
        <f t="shared" si="1"/>
        <v>1</v>
      </c>
    </row>
    <row r="12" spans="1:20" ht="17">
      <c r="A12" t="s">
        <v>121</v>
      </c>
      <c r="B12">
        <f>monthly_growth!D12</f>
        <v>987765.37</v>
      </c>
      <c r="E12" t="str">
        <f t="shared" si="0"/>
        <v>november</v>
      </c>
      <c r="F12" s="9"/>
      <c r="I12" t="str">
        <f>delivery_priority!A12</f>
        <v>GO</v>
      </c>
      <c r="L12" s="10">
        <f>customer_repeat_90d!A12</f>
        <v>43040</v>
      </c>
      <c r="M12" s="9">
        <f>customer_repeat_90d!D12/100</f>
        <v>2.3199999999999998E-2</v>
      </c>
      <c r="O12" s="2" t="str">
        <f>state_freight!A12</f>
        <v>CE</v>
      </c>
      <c r="P12" s="18">
        <f>state_freight!G12/100</f>
        <v>0.21239999999999998</v>
      </c>
      <c r="R12" s="2" t="str">
        <f>LEFT(seller_delivery!A12,8)</f>
        <v>06a2c3af</v>
      </c>
      <c r="S12" s="2">
        <f>seller_delivery!D12</f>
        <v>74</v>
      </c>
      <c r="T12">
        <f t="shared" si="1"/>
        <v>1</v>
      </c>
    </row>
    <row r="13" spans="1:20" ht="17">
      <c r="A13" t="s">
        <v>122</v>
      </c>
      <c r="B13">
        <f>monthly_growth!D13</f>
        <v>726033.19</v>
      </c>
      <c r="E13" t="str">
        <f t="shared" si="0"/>
        <v>december</v>
      </c>
      <c r="F13" s="9"/>
      <c r="I13" t="str">
        <f>delivery_priority!A13</f>
        <v>MA</v>
      </c>
      <c r="L13" s="10">
        <f>customer_repeat_90d!A13</f>
        <v>43070</v>
      </c>
      <c r="M13" s="9">
        <f>customer_repeat_90d!D13/100</f>
        <v>1.72E-2</v>
      </c>
      <c r="O13" s="2" t="str">
        <f>state_freight!A13</f>
        <v>BA</v>
      </c>
      <c r="P13" s="18">
        <f>state_freight!G13/100</f>
        <v>0.19760000000000003</v>
      </c>
      <c r="R13" s="2" t="str">
        <f>LEFT(seller_delivery!A13,8)</f>
        <v>1025f0e2</v>
      </c>
      <c r="S13" s="2">
        <f>seller_delivery!D13</f>
        <v>72</v>
      </c>
      <c r="T13">
        <f t="shared" si="1"/>
        <v>1</v>
      </c>
    </row>
    <row r="14" spans="1:20" ht="17">
      <c r="I14" t="str">
        <f>delivery_priority!A14</f>
        <v>DF</v>
      </c>
      <c r="L14" s="10">
        <f>customer_repeat_90d!A14</f>
        <v>43101</v>
      </c>
      <c r="M14" s="9">
        <f>customer_repeat_90d!D14/100</f>
        <v>2.18E-2</v>
      </c>
      <c r="O14" s="2" t="str">
        <f>state_freight!A14</f>
        <v>AL</v>
      </c>
      <c r="P14" s="18">
        <f>state_freight!G14/100</f>
        <v>0.19420000000000001</v>
      </c>
      <c r="R14" s="2" t="str">
        <f>LEFT(seller_delivery!A14,8)</f>
        <v>7d13fca1</v>
      </c>
      <c r="S14" s="2">
        <f>seller_delivery!D14</f>
        <v>64</v>
      </c>
      <c r="T14">
        <f t="shared" si="1"/>
        <v>1</v>
      </c>
    </row>
    <row r="15" spans="1:20" ht="17">
      <c r="I15" t="str">
        <f>delivery_priority!A15</f>
        <v>PA</v>
      </c>
      <c r="L15" s="10">
        <f>customer_repeat_90d!A15</f>
        <v>43132</v>
      </c>
      <c r="M15" s="9">
        <f>customer_repeat_90d!D15/100</f>
        <v>2.9900000000000003E-2</v>
      </c>
      <c r="O15" s="2" t="str">
        <f>state_freight!A15</f>
        <v>MT</v>
      </c>
      <c r="P15" s="18">
        <f>state_freight!G15/100</f>
        <v>0.19079999999999997</v>
      </c>
      <c r="R15" s="2" t="str">
        <f>LEFT(seller_delivery!A15,8)</f>
        <v>620c87c1</v>
      </c>
      <c r="S15" s="2">
        <f>seller_delivery!D15</f>
        <v>63</v>
      </c>
      <c r="T15">
        <f t="shared" si="1"/>
        <v>1</v>
      </c>
    </row>
    <row r="16" spans="1:20" ht="17">
      <c r="I16" t="str">
        <f>delivery_priority!A16</f>
        <v>AL</v>
      </c>
      <c r="L16" s="10">
        <f>customer_repeat_90d!A16</f>
        <v>43160</v>
      </c>
      <c r="M16" s="9">
        <f>customer_repeat_90d!D16/100</f>
        <v>1.9799999999999998E-2</v>
      </c>
      <c r="O16" s="2" t="str">
        <f>state_freight!A16</f>
        <v>ES</v>
      </c>
      <c r="P16" s="18">
        <f>state_freight!G16/100</f>
        <v>0.1825</v>
      </c>
      <c r="R16" s="2" t="str">
        <f>LEFT(seller_delivery!A16,8)</f>
        <v>7a67c85e</v>
      </c>
      <c r="S16" s="2">
        <f>seller_delivery!D16</f>
        <v>60</v>
      </c>
      <c r="T16">
        <f t="shared" si="1"/>
        <v>1</v>
      </c>
    </row>
    <row r="17" spans="9:19" ht="17">
      <c r="I17" t="str">
        <f>delivery_priority!A17</f>
        <v>MS</v>
      </c>
      <c r="L17" s="10">
        <f>customer_repeat_90d!A17</f>
        <v>43191</v>
      </c>
      <c r="M17" s="9">
        <f>customer_repeat_90d!D17/100</f>
        <v>1.6899999999999998E-2</v>
      </c>
      <c r="O17" s="2" t="str">
        <f>state_freight!A17</f>
        <v>RS</v>
      </c>
      <c r="P17" s="18">
        <f>state_freight!G17/100</f>
        <v>0.18190000000000001</v>
      </c>
      <c r="R17" s="2"/>
      <c r="S17" s="2"/>
    </row>
    <row r="18" spans="9:19" ht="17">
      <c r="I18" t="str">
        <f>delivery_priority!A18</f>
        <v>PI</v>
      </c>
      <c r="L18" s="10">
        <f>customer_repeat_90d!A18</f>
        <v>43221</v>
      </c>
      <c r="M18" s="9">
        <f>customer_repeat_90d!D18/100</f>
        <v>1.61E-2</v>
      </c>
      <c r="O18" s="2" t="str">
        <f>state_freight!A18</f>
        <v>GO</v>
      </c>
      <c r="P18" s="18">
        <f>state_freight!G18/100</f>
        <v>0.18160000000000001</v>
      </c>
      <c r="R18" s="2"/>
      <c r="S18" s="2"/>
    </row>
    <row r="19" spans="9:19" ht="17">
      <c r="I19" t="str">
        <f>delivery_priority!A19</f>
        <v>PB</v>
      </c>
      <c r="L19" s="10"/>
      <c r="M19" s="9"/>
      <c r="O19" s="2" t="str">
        <f>state_freight!A19</f>
        <v>SC</v>
      </c>
      <c r="P19" s="18">
        <f>state_freight!G19/100</f>
        <v>0.17379999999999998</v>
      </c>
      <c r="R19" s="2"/>
    </row>
    <row r="20" spans="9:19" ht="17">
      <c r="I20" t="str">
        <f>delivery_priority!A20</f>
        <v>MT</v>
      </c>
      <c r="L20" s="10"/>
      <c r="O20" s="2" t="str">
        <f>state_freight!A20</f>
        <v>PR</v>
      </c>
      <c r="P20" s="18">
        <f>state_freight!G20/100</f>
        <v>0.1736</v>
      </c>
      <c r="R20" s="2"/>
    </row>
    <row r="21" spans="9:19" ht="17">
      <c r="I21" t="str">
        <f>delivery_priority!A21</f>
        <v>SE</v>
      </c>
      <c r="L21" s="10"/>
      <c r="O21" s="2" t="str">
        <f>state_freight!A21</f>
        <v>MG</v>
      </c>
      <c r="P21" s="18">
        <f>state_freight!G21/100</f>
        <v>0.1716</v>
      </c>
      <c r="R21" s="2"/>
    </row>
    <row r="22" spans="9:19" ht="17">
      <c r="I22" t="str">
        <f>delivery_priority!A22</f>
        <v>RN</v>
      </c>
      <c r="L22" s="10"/>
      <c r="O22" s="2" t="str">
        <f>state_freight!A22</f>
        <v>RJ</v>
      </c>
      <c r="P22" s="18">
        <f>state_freight!G22/100</f>
        <v>0.1681</v>
      </c>
      <c r="R22" s="2"/>
    </row>
    <row r="23" spans="9:19" ht="17">
      <c r="I23" t="str">
        <f>delivery_priority!A23</f>
        <v>TO</v>
      </c>
      <c r="L23" s="10"/>
      <c r="O23" s="2" t="str">
        <f>state_freight!A23</f>
        <v>DF</v>
      </c>
      <c r="P23" s="18">
        <f>state_freight!G23/100</f>
        <v>0.16739999999999999</v>
      </c>
      <c r="R23" s="2"/>
    </row>
    <row r="24" spans="9:19" ht="17">
      <c r="I24" t="str">
        <f>delivery_priority!A24</f>
        <v>RO</v>
      </c>
      <c r="L24" s="10"/>
      <c r="O24" s="2" t="str">
        <f>state_freight!A24</f>
        <v>MS</v>
      </c>
      <c r="P24" s="18">
        <f>state_freight!G24/100</f>
        <v>0.1641</v>
      </c>
      <c r="R24" s="2"/>
    </row>
    <row r="25" spans="9:19" ht="17">
      <c r="I25" t="str">
        <f>delivery_priority!A25</f>
        <v>RR</v>
      </c>
      <c r="L25" s="10"/>
      <c r="O25" s="2" t="str">
        <f>state_freight!A25</f>
        <v>SP</v>
      </c>
      <c r="P25" s="18">
        <f>state_freight!G25/100</f>
        <v>0.13849999999999998</v>
      </c>
    </row>
    <row r="26" spans="9:19" ht="17">
      <c r="I26" t="str">
        <f>delivery_priority!A26</f>
        <v>AM</v>
      </c>
      <c r="L26" s="10"/>
      <c r="O26" s="2"/>
      <c r="P26" s="2"/>
    </row>
    <row r="27" spans="9:19" ht="17">
      <c r="I27" t="str">
        <f>delivery_priority!A27</f>
        <v>AC</v>
      </c>
      <c r="L27" s="10"/>
      <c r="O27" s="2"/>
      <c r="P27" s="2"/>
    </row>
    <row r="28" spans="9:19" ht="17">
      <c r="O28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Delivery &amp; Customer Analysis</vt:lpstr>
      <vt:lpstr>olist_monthly_sales</vt:lpstr>
      <vt:lpstr>monthly_growth</vt:lpstr>
      <vt:lpstr>latestate</vt:lpstr>
      <vt:lpstr>olist_product_category</vt:lpstr>
      <vt:lpstr>customer segment</vt:lpstr>
      <vt:lpstr>paymentmethod</vt:lpstr>
      <vt:lpstr>stateperformance</vt:lpstr>
      <vt:lpstr>customer_repeat_90d</vt:lpstr>
      <vt:lpstr>delivery_priority</vt:lpstr>
      <vt:lpstr>seller_delivery</vt:lpstr>
      <vt:lpstr>state_freight</vt:lpstr>
      <vt:lpstr>Executive overview</vt:lpstr>
      <vt:lpstr>chart_data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2026-10-09T18:07:01Z</dcterms:created>
  <dcterms:modified xsi:type="dcterms:W3CDTF">2026-10-11T08:28:44Z</dcterms:modified>
</cp:coreProperties>
</file>